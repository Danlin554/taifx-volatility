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IFX" sheetId="1" r:id="rId5"/>
    <sheet state="visible" name="DATA" sheetId="2" r:id="rId6"/>
    <sheet state="visible" name="US" sheetId="3" r:id="rId7"/>
    <sheet state="visible" name="ChangeLog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從台股前一個交易日至今的累積漲跌幅，如遇到臺灣連假，就會把中間的美股交易日漲跌幅加總來計算</t>
      </text>
    </comment>
    <comment authorId="0" ref="A7">
      <text>
        <t xml:space="preserve">參考道瓊漲幅、那斯達克漲幅 、標普漲幅和臺積電ADR漲幅來預估台指的開盤漲幅，最好是美股收盤後，台指開盤前更新，才有參考價值
週一因為隔了一個週末，參考價值不高，連假也是</t>
      </text>
    </comment>
    <comment authorId="0" ref="A9">
      <text>
        <t xml:space="preserve"> (10日平均震幅 / 5)</t>
      </text>
    </comment>
    <comment authorId="0" ref="G12">
      <text>
        <t xml:space="preserve">有68.27%機率，震幅落在一個標準差內</t>
      </text>
    </comment>
    <comment authorId="0" ref="H12">
      <text>
        <t xml:space="preserve">有95.45%機率，震幅落在兩個標準差內</t>
      </text>
    </comment>
    <comment authorId="0" ref="I12">
      <text>
        <t xml:space="preserve">有99.7%機率，震幅落在三個標準差內</t>
      </text>
    </comment>
    <comment authorId="0" ref="F15">
      <text>
        <t xml:space="preserve">選取要抓幾個月的資料後，再按「更新」即可</t>
      </text>
    </comment>
    <comment authorId="0" ref="A19">
      <text>
        <t xml:space="preserve">20日最小震幅</t>
      </text>
    </comment>
    <comment authorId="0" ref="B19">
      <text>
        <t xml:space="preserve">小於20日平均震幅的平均</t>
      </text>
    </comment>
    <comment authorId="0" ref="C19">
      <text>
        <t xml:space="preserve">20日平均震幅</t>
      </text>
    </comment>
    <comment authorId="0" ref="D19">
      <text>
        <t xml:space="preserve">大於20日平均震幅的平均</t>
      </text>
    </comment>
    <comment authorId="0" ref="E19">
      <text>
        <t xml:space="preserve">20日最大震幅</t>
      </text>
    </comment>
  </commentList>
</comments>
</file>

<file path=xl/sharedStrings.xml><?xml version="1.0" encoding="utf-8"?>
<sst xmlns="http://schemas.openxmlformats.org/spreadsheetml/2006/main" count="99" uniqueCount="87">
  <si>
    <t>請自行建立副本，才不需要我的授權！謝謝</t>
  </si>
  <si>
    <t>開盤日期</t>
  </si>
  <si>
    <t>DJ漲幅 (%)</t>
  </si>
  <si>
    <t>NQ漲幅 (%)</t>
  </si>
  <si>
    <t>SPY漲幅 (%)</t>
  </si>
  <si>
    <t>TSM漲幅 (%)</t>
  </si>
  <si>
    <t>DJ權重 (%)</t>
  </si>
  <si>
    <t>NQ權重 (%)</t>
  </si>
  <si>
    <t>SPY權重 (%)</t>
  </si>
  <si>
    <t>TSM權重 (%)</t>
  </si>
  <si>
    <t>期貨預估</t>
  </si>
  <si>
    <t>合理範圍</t>
  </si>
  <si>
    <t>~</t>
  </si>
  <si>
    <t>現貨預估</t>
  </si>
  <si>
    <t>單位風險 R</t>
  </si>
  <si>
    <t>20日平均震幅</t>
  </si>
  <si>
    <t>10日平均震幅</t>
  </si>
  <si>
    <t>5日平均震幅</t>
  </si>
  <si>
    <t>20日震幅標準差</t>
  </si>
  <si>
    <t>10日震幅標準差</t>
  </si>
  <si>
    <t>5日震幅標準差</t>
  </si>
  <si>
    <t>一個標準差震幅</t>
  </si>
  <si>
    <t>兩個標準差震幅</t>
  </si>
  <si>
    <t>三個標準差震幅</t>
  </si>
  <si>
    <t>週一平均震幅</t>
  </si>
  <si>
    <t>週二平均震幅</t>
  </si>
  <si>
    <t>週三平均震幅</t>
  </si>
  <si>
    <t>週四平均震幅</t>
  </si>
  <si>
    <t>週五平均震幅</t>
  </si>
  <si>
    <t>資料取樣月份數</t>
  </si>
  <si>
    <t>當沖目標震幅</t>
  </si>
  <si>
    <t>一壘打</t>
  </si>
  <si>
    <t>二壘打</t>
  </si>
  <si>
    <t>三壘打</t>
  </si>
  <si>
    <t>全壘打</t>
  </si>
  <si>
    <t>場外全壘打</t>
  </si>
  <si>
    <t>使用指南</t>
  </si>
  <si>
    <r>
      <rPr>
        <rFont val="Arial"/>
        <color theme="1"/>
      </rPr>
      <t>．請按「</t>
    </r>
    <r>
      <rPr>
        <rFont val="Arial"/>
        <b/>
        <color theme="1"/>
      </rPr>
      <t>更新</t>
    </r>
    <r>
      <rPr>
        <rFont val="Arial"/>
        <color theme="1"/>
      </rPr>
      <t>」按鈕抓取最新期貨資料</t>
    </r>
  </si>
  <si>
    <t>．單位風險 R 可用來決定一口的停損點數，用來衡量一筆交易的 CP 值，預估獲利 / R 可知道盈虧比</t>
  </si>
  <si>
    <t>．平均震幅 + 一個標準差，可以知道有 68.27% 的機率當天震幅會落在這裡面，用來預估還有多少空間上漲或下跌來決定 CP 值，甚至可以用來提早停利</t>
  </si>
  <si>
    <t>．美股漲跌幅來預估台指開盤點數，用來評估台股的強弱度，有沒有方向上或幅度上的背離，來決定今天做多或做空哪方較有利</t>
  </si>
  <si>
    <t>問題排除</t>
  </si>
  <si>
    <r>
      <rPr/>
      <t>．若有錯誤或疑問，請至</t>
    </r>
    <r>
      <rPr>
        <b/>
        <color rgb="FFFF0000"/>
        <u/>
      </rPr>
      <t>原始連結</t>
    </r>
    <r>
      <rPr/>
      <t>查看 ChangeLog 是否有新的版本修正問題，有新版本的話，請重新建立副本</t>
    </r>
  </si>
  <si>
    <t>星期幾</t>
  </si>
  <si>
    <t>日期</t>
  </si>
  <si>
    <t>開</t>
  </si>
  <si>
    <t>高</t>
  </si>
  <si>
    <t>低</t>
  </si>
  <si>
    <t>收</t>
  </si>
  <si>
    <t>成交量</t>
  </si>
  <si>
    <t>震幅</t>
  </si>
  <si>
    <t>5MA</t>
  </si>
  <si>
    <t>10MA</t>
  </si>
  <si>
    <t>20MA</t>
  </si>
  <si>
    <t>跳空點數(0.5%)</t>
  </si>
  <si>
    <t>紅黑K</t>
  </si>
  <si>
    <t>此表格僅用來計算台股最後一個交易日到本日的美股行情，
用來計算中間漲跌幅總合，請勿修改此頁</t>
  </si>
  <si>
    <t>GOOGLEFINANCE 中的日期是以 UTC 中午時間為準 - 臺灣時間晚上 8 點</t>
  </si>
  <si>
    <t>道瓊</t>
  </si>
  <si>
    <t>那斯達克</t>
  </si>
  <si>
    <t>標普500</t>
  </si>
  <si>
    <t>臺積電 ADR</t>
  </si>
  <si>
    <t>總合漲幅(%)</t>
  </si>
  <si>
    <t>最新價格</t>
  </si>
  <si>
    <t>參考價格</t>
  </si>
  <si>
    <t>內容</t>
  </si>
  <si>
    <t>初始版本，抓取三個月期貨資料，計算 5, 10, 20 平均震幅，計算單位風險</t>
  </si>
  <si>
    <t>計算週一到週五的平均震幅</t>
  </si>
  <si>
    <t>2021/05/10 18::30</t>
  </si>
  <si>
    <t>加上期貨預估值</t>
  </si>
  <si>
    <t>修正夜盤問題</t>
  </si>
  <si>
    <t>加上現貨預估值</t>
  </si>
  <si>
    <t>修正結算日問題，更新資訊頁面，可自訂抓取月份數</t>
  </si>
  <si>
    <t>連假時可加總中間所有美股交易日的漲跌幅，來預估開盤值</t>
  </si>
  <si>
    <t>修正 NQ, DJ 漲幅</t>
  </si>
  <si>
    <t>加上使用指南</t>
  </si>
  <si>
    <t>修正 NQ, DJ 漲幅，不用 close，改用 price</t>
  </si>
  <si>
    <t>修正每月第一天收盤前，抓取期貨資料會有錯誤</t>
  </si>
  <si>
    <t>修正週一凌晨 0:00 ~ 04:59 更新會抓到週五夜盤資料</t>
  </si>
  <si>
    <t>修正 NQ, DJ 遇到臺灣連假過後一天的總合漲幅會計算錯誤</t>
  </si>
  <si>
    <t>修正 NQ, DJ 在上一版修正之後，遇到週二早上更新會抓不到資料</t>
  </si>
  <si>
    <t>修正 NQ, DJ</t>
  </si>
  <si>
    <t>新增 TSM ADR, SPY500，自定義權重</t>
  </si>
  <si>
    <t>修正因為增加權重，導致 script 抓取資料錯誤</t>
  </si>
  <si>
    <t>增加美股資料的90天線圖和台指線圖</t>
  </si>
  <si>
    <t>增加震幅線圖</t>
  </si>
  <si>
    <t>增加目標價震幅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</si>
</sst>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m/dd"/>
    <numFmt numFmtId="165" formatCode="yyyy/M/d"/>
    <numFmt numFmtId="166" formatCode="yyyy&quot;/&quot;mm&quot;/&quot;dd"/>
    <numFmt numFmtId="167" formatCode="m/d/yyyy h:mm:ss"/>
    <numFmt numFmtId="168" formatCode="yyyy/mm/dd h:mm"/>
    <numFmt numFmtId="169" formatCode="yyyy/m/d h:mm"/>
  </numFmts>
  <fonts count="13">
    <font>
      <sz val="10.0"/>
      <color rgb="FF000000"/>
      <name val="Arial"/>
      <scheme val="minor"/>
    </font>
    <font>
      <b/>
      <color theme="1"/>
      <name val="Arial"/>
    </font>
    <font>
      <b/>
      <sz val="18.0"/>
      <color rgb="FFFF0000"/>
      <name val="Arial"/>
      <scheme val="minor"/>
    </font>
    <font>
      <b/>
      <sz val="14.0"/>
      <color rgb="FFFF0000"/>
      <name val="Arial"/>
      <scheme val="minor"/>
    </font>
    <font>
      <color theme="1"/>
      <name val="Arial"/>
    </font>
    <font>
      <b/>
      <sz val="18.0"/>
      <color rgb="FF1155CC"/>
      <name val="Arial"/>
      <scheme val="minor"/>
    </font>
    <font>
      <color theme="1"/>
      <name val="Arial"/>
      <scheme val="minor"/>
    </font>
    <font/>
    <font>
      <b/>
      <sz val="18.0"/>
      <color theme="1"/>
      <name val="Arial"/>
      <scheme val="minor"/>
    </font>
    <font>
      <u/>
      <color rgb="FF0000FF"/>
    </font>
    <font>
      <u/>
      <color rgb="FF1155CC"/>
      <name val="Arial"/>
      <scheme val="minor"/>
    </font>
    <font>
      <b/>
      <sz val="12.0"/>
      <color rgb="FFFF0000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bottom"/>
    </xf>
    <xf borderId="2" fillId="0" fontId="4" numFmtId="14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vertical="bottom"/>
    </xf>
    <xf borderId="2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5" fillId="0" fontId="4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readingOrder="0"/>
    </xf>
    <xf borderId="6" fillId="0" fontId="4" numFmtId="0" xfId="0" applyAlignment="1" applyBorder="1" applyFont="1">
      <alignment horizontal="center" readingOrder="0" shrinkToFit="0" vertical="bottom" wrapText="0"/>
    </xf>
    <xf borderId="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0" fontId="6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6" fillId="0" fontId="4" numFmtId="0" xfId="0" applyAlignment="1" applyBorder="1" applyFont="1">
      <alignment horizontal="center" vertical="bottom"/>
    </xf>
    <xf borderId="7" fillId="2" fontId="4" numFmtId="0" xfId="0" applyAlignment="1" applyBorder="1" applyFill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4" fillId="0" fontId="4" numFmtId="49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5" fillId="0" fontId="4" numFmtId="0" xfId="0" applyAlignment="1" applyBorder="1" applyFont="1">
      <alignment horizontal="center" vertical="bottom"/>
    </xf>
    <xf borderId="6" fillId="0" fontId="4" numFmtId="49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center"/>
    </xf>
    <xf borderId="4" fillId="0" fontId="7" numFmtId="0" xfId="0" applyBorder="1" applyFont="1"/>
    <xf borderId="5" fillId="0" fontId="7" numFmtId="0" xfId="0" applyBorder="1" applyFont="1"/>
    <xf borderId="4" fillId="0" fontId="6" numFmtId="0" xfId="0" applyAlignment="1" applyBorder="1" applyFont="1">
      <alignment readingOrder="0"/>
    </xf>
    <xf borderId="5" fillId="0" fontId="6" numFmtId="0" xfId="0" applyBorder="1" applyFont="1"/>
    <xf borderId="6" fillId="0" fontId="6" numFmtId="0" xfId="0" applyAlignment="1" applyBorder="1" applyFont="1">
      <alignment readingOrder="0"/>
    </xf>
    <xf borderId="7" fillId="0" fontId="6" numFmtId="0" xfId="0" applyBorder="1" applyFont="1"/>
    <xf borderId="8" fillId="0" fontId="6" numFmtId="0" xfId="0" applyBorder="1" applyFont="1"/>
    <xf borderId="7" fillId="0" fontId="9" numFmtId="49" xfId="0" applyAlignment="1" applyBorder="1" applyFont="1" applyNumberFormat="1">
      <alignment horizontal="left" readingOrder="0"/>
    </xf>
    <xf borderId="7" fillId="0" fontId="10" numFmtId="0" xfId="0" applyAlignment="1" applyBorder="1" applyFont="1">
      <alignment readingOrder="0"/>
    </xf>
    <xf borderId="0" fillId="0" fontId="6" numFmtId="49" xfId="0" applyAlignment="1" applyFont="1" applyNumberFormat="1">
      <alignment horizontal="center" readingOrder="0"/>
    </xf>
    <xf borderId="0" fillId="0" fontId="6" numFmtId="164" xfId="0" applyAlignment="1" applyFont="1" applyNumberFormat="1">
      <alignment readingOrder="0"/>
    </xf>
    <xf borderId="0" fillId="0" fontId="6" numFmtId="0" xfId="0" applyFont="1"/>
    <xf borderId="0" fillId="4" fontId="4" numFmtId="0" xfId="0" applyAlignment="1" applyFill="1" applyFont="1">
      <alignment horizontal="center" vertical="bottom"/>
    </xf>
    <xf borderId="0" fillId="4" fontId="4" numFmtId="0" xfId="0" applyAlignment="1" applyFont="1">
      <alignment vertical="bottom"/>
    </xf>
    <xf borderId="0" fillId="5" fontId="4" numFmtId="0" xfId="0" applyAlignment="1" applyFill="1" applyFont="1">
      <alignment horizontal="right" vertical="bottom"/>
    </xf>
    <xf borderId="0" fillId="6" fontId="4" numFmtId="0" xfId="0" applyAlignment="1" applyFill="1" applyFont="1">
      <alignment horizontal="right" vertical="bottom"/>
    </xf>
    <xf borderId="0" fillId="4" fontId="6" numFmtId="0" xfId="0" applyFont="1"/>
    <xf borderId="0" fillId="0" fontId="11" numFmtId="0" xfId="0" applyAlignment="1" applyFont="1">
      <alignment readingOrder="0"/>
    </xf>
    <xf borderId="5" fillId="0" fontId="11" numFmtId="0" xfId="0" applyAlignment="1" applyBorder="1" applyFont="1">
      <alignment readingOrder="0"/>
    </xf>
    <xf borderId="0" fillId="0" fontId="12" numFmtId="0" xfId="0" applyAlignment="1" applyFont="1">
      <alignment horizontal="left" readingOrder="0"/>
    </xf>
    <xf borderId="5" fillId="0" fontId="12" numFmtId="0" xfId="0" applyAlignment="1" applyBorder="1" applyFont="1">
      <alignment horizontal="left" readingOrder="0"/>
    </xf>
    <xf borderId="5" fillId="0" fontId="6" numFmtId="0" xfId="0" applyAlignment="1" applyBorder="1" applyFont="1">
      <alignment horizontal="center"/>
    </xf>
    <xf borderId="0" fillId="0" fontId="6" numFmtId="0" xfId="0" applyAlignment="1" applyFont="1">
      <alignment horizontal="left" readingOrder="0"/>
    </xf>
    <xf borderId="4" fillId="0" fontId="6" numFmtId="165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center" readingOrder="0"/>
    </xf>
    <xf borderId="0" fillId="0" fontId="6" numFmtId="165" xfId="0" applyFont="1" applyNumberFormat="1"/>
    <xf borderId="4" fillId="0" fontId="6" numFmtId="165" xfId="0" applyBorder="1" applyFont="1" applyNumberFormat="1"/>
    <xf borderId="0" fillId="0" fontId="6" numFmtId="166" xfId="0" applyFont="1" applyNumberFormat="1"/>
    <xf borderId="4" fillId="0" fontId="6" numFmtId="166" xfId="0" applyBorder="1" applyFont="1" applyNumberFormat="1"/>
    <xf borderId="0" fillId="0" fontId="6" numFmtId="167" xfId="0" applyFont="1" applyNumberFormat="1"/>
    <xf borderId="0" fillId="0" fontId="6" numFmtId="168" xfId="0" applyAlignment="1" applyFont="1" applyNumberFormat="1">
      <alignment horizontal="left" readingOrder="0"/>
    </xf>
    <xf borderId="0" fillId="0" fontId="6" numFmtId="169" xfId="0" applyAlignment="1" applyFont="1" applyNumberFormat="1">
      <alignment horizontal="left" readingOrder="0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台指線圖 (範圍 = 資料取樣月份數)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DATA!$B$1:$B$1000</c:f>
            </c:strRef>
          </c:cat>
          <c:val>
            <c:numRef>
              <c:f>DATA!$F$1:$F$1000</c:f>
              <c:numCache/>
            </c:numRef>
          </c:val>
          <c:smooth val="1"/>
        </c:ser>
        <c:axId val="1425789574"/>
        <c:axId val="685839908"/>
      </c:lineChart>
      <c:catAx>
        <c:axId val="1425789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日期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839908"/>
      </c:catAx>
      <c:valAx>
        <c:axId val="685839908"/>
        <c:scaling>
          <c:orientation val="minMax"/>
          <c:min val="1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7895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DATA!$I$1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DATA!$B$2:$B$400</c:f>
            </c:strRef>
          </c:cat>
          <c:val>
            <c:numRef>
              <c:f>DATA!$I$2:$I$400</c:f>
              <c:numCache/>
            </c:numRef>
          </c:val>
          <c:smooth val="1"/>
        </c:ser>
        <c:ser>
          <c:idx val="1"/>
          <c:order val="1"/>
          <c:tx>
            <c:strRef>
              <c:f>DATA!$J$1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DATA!$B$2:$B$400</c:f>
            </c:strRef>
          </c:cat>
          <c:val>
            <c:numRef>
              <c:f>DATA!$J$2:$J$400</c:f>
              <c:numCache/>
            </c:numRef>
          </c:val>
          <c:smooth val="1"/>
        </c:ser>
        <c:ser>
          <c:idx val="2"/>
          <c:order val="2"/>
          <c:tx>
            <c:strRef>
              <c:f>DATA!$K$1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DATA!$B$2:$B$400</c:f>
            </c:strRef>
          </c:cat>
          <c:val>
            <c:numRef>
              <c:f>DATA!$K$2:$K$400</c:f>
              <c:numCache/>
            </c:numRef>
          </c:val>
          <c:smooth val="1"/>
        </c:ser>
        <c:axId val="1167314075"/>
        <c:axId val="1100339807"/>
      </c:lineChart>
      <c:catAx>
        <c:axId val="1167314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0339807"/>
      </c:catAx>
      <c:valAx>
        <c:axId val="1100339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314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209550</xdr:colOff>
      <xdr:row>0</xdr:row>
      <xdr:rowOff>190500</xdr:rowOff>
    </xdr:from>
    <xdr:ext cx="4791075" cy="2971800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209550</xdr:colOff>
      <xdr:row>16</xdr:row>
      <xdr:rowOff>57150</xdr:rowOff>
    </xdr:from>
    <xdr:ext cx="4791075" cy="2971800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95250</xdr:colOff>
      <xdr:row>0</xdr:row>
      <xdr:rowOff>19050</xdr:rowOff>
    </xdr:from>
    <xdr:ext cx="2628900" cy="352425"/>
    <xdr:sp>
      <xdr:nvSpPr>
        <xdr:cNvPr id="3" name="Shape 3"/>
        <xdr:cNvSpPr/>
      </xdr:nvSpPr>
      <xdr:spPr>
        <a:xfrm>
          <a:off x="1092600" y="907250"/>
          <a:ext cx="2614500" cy="3318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更新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S3NOIFHi5t1ZQtXm7HzSLTv87wk6UJ_vbdVatJz0-m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2" t="s">
        <v>0</v>
      </c>
      <c r="J1" s="2"/>
      <c r="K1" s="2"/>
      <c r="L1" s="3"/>
      <c r="M1" s="3"/>
      <c r="N1" s="3"/>
    </row>
    <row r="2">
      <c r="A2" s="4"/>
      <c r="B2" s="4"/>
      <c r="C2" s="4"/>
      <c r="J2" s="2"/>
      <c r="K2" s="5"/>
      <c r="L2" s="5"/>
      <c r="M2" s="5"/>
      <c r="N2" s="5"/>
      <c r="O2" s="5"/>
      <c r="P2" s="5"/>
      <c r="Q2" s="5"/>
      <c r="R2" s="5"/>
    </row>
    <row r="3">
      <c r="A3" s="4"/>
      <c r="B3" s="4"/>
      <c r="C3" s="4"/>
      <c r="D3" s="6"/>
      <c r="E3" s="6"/>
      <c r="F3" s="6"/>
      <c r="G3" s="7"/>
      <c r="H3" s="7"/>
      <c r="I3" s="7"/>
      <c r="K3" s="5"/>
      <c r="L3" s="5"/>
      <c r="M3" s="5"/>
      <c r="N3" s="5"/>
      <c r="O3" s="5"/>
      <c r="P3" s="5"/>
      <c r="Q3" s="5"/>
      <c r="R3" s="5"/>
    </row>
    <row r="4">
      <c r="A4" s="8" t="s">
        <v>1</v>
      </c>
      <c r="B4" s="9">
        <f t="array" ref="B4">IF(INDIRECT(CONCATENATE("'DATA'!B", COUNT(DATA!B2:B1017)+1))+1 &gt; TODAY(), INDIRECT(CONCATENATE("'DATA'!B", COUNT(DATA!B2:B1017)+1))+1, TODAY())</f>
        <v>46160</v>
      </c>
      <c r="C4" s="10"/>
      <c r="D4" s="11"/>
      <c r="E4" s="11"/>
      <c r="F4" s="11"/>
      <c r="G4" s="12"/>
      <c r="H4" s="13"/>
      <c r="I4" s="7"/>
    </row>
    <row r="5">
      <c r="A5" s="14" t="s">
        <v>2</v>
      </c>
      <c r="B5" s="15">
        <f>US!B5</f>
        <v>7.51</v>
      </c>
      <c r="C5" s="15" t="s">
        <v>3</v>
      </c>
      <c r="D5" s="15">
        <f>US!D5</f>
        <v>15.56</v>
      </c>
      <c r="E5" s="16" t="s">
        <v>4</v>
      </c>
      <c r="F5" s="15">
        <f>US!F5</f>
        <v>11.33</v>
      </c>
      <c r="G5" s="15" t="s">
        <v>5</v>
      </c>
      <c r="H5" s="17">
        <f>US!H5</f>
        <v>33.5</v>
      </c>
      <c r="I5" s="7"/>
    </row>
    <row r="6">
      <c r="A6" s="14" t="s">
        <v>6</v>
      </c>
      <c r="B6" s="15">
        <v>50.0</v>
      </c>
      <c r="C6" s="15" t="s">
        <v>7</v>
      </c>
      <c r="D6" s="15">
        <v>50.0</v>
      </c>
      <c r="E6" s="16" t="s">
        <v>8</v>
      </c>
      <c r="F6" s="15">
        <v>0.0</v>
      </c>
      <c r="G6" s="15" t="s">
        <v>9</v>
      </c>
      <c r="H6" s="18">
        <v>0.0</v>
      </c>
      <c r="I6" s="7"/>
    </row>
    <row r="7">
      <c r="A7" s="14" t="s">
        <v>10</v>
      </c>
      <c r="B7" s="4">
        <f t="array" ref="B7">ROUND(INDIRECT(CONCATENATE("'DATA'!F", COUNT(DATA!F2:F1017)+1)) * (1 + (B5 * B6 + D5 * D6 + F5 * F6 + H5 * H6) / 100 / (B6 + D6 + F6 + H6)), 0)</f>
        <v>29800</v>
      </c>
      <c r="C7" s="15" t="s">
        <v>11</v>
      </c>
      <c r="D7" s="4">
        <f>ROUND(B7 * (1 - 0.005),0)</f>
        <v>29651</v>
      </c>
      <c r="E7" s="15" t="s">
        <v>12</v>
      </c>
      <c r="F7" s="4">
        <f>ROUND(B7 * (1 + 0.005),0)</f>
        <v>29949</v>
      </c>
      <c r="G7" s="7"/>
      <c r="H7" s="19"/>
      <c r="I7" s="7"/>
    </row>
    <row r="8">
      <c r="A8" s="14" t="s">
        <v>13</v>
      </c>
      <c r="B8" s="4" t="str">
        <f>IFERROR(__xludf.DUMMYFUNCTION("ROUND(GOOGLEFINANCE(""TPE:TAIEX"") * (1 + (B5 * B6 + D5 * D6 + F5 * F6 + H5 * H6) / 100 / (B6 + D6 + F6 + H6)), 2)"),"#N/A")</f>
        <v>#N/A</v>
      </c>
      <c r="C8" s="15" t="s">
        <v>11</v>
      </c>
      <c r="D8" s="4" t="str">
        <f>ROUND(B8 * (1 - 0.005), 2)</f>
        <v>#N/A</v>
      </c>
      <c r="E8" s="15" t="s">
        <v>12</v>
      </c>
      <c r="F8" s="4" t="str">
        <f>ROUND(B8 * (1 + 0.005), 2)</f>
        <v>#N/A</v>
      </c>
      <c r="G8" s="7"/>
      <c r="H8" s="19"/>
      <c r="I8" s="7"/>
    </row>
    <row r="9">
      <c r="A9" s="20" t="s">
        <v>14</v>
      </c>
      <c r="B9" s="21">
        <f>floor(B13 / 5,1)</f>
        <v>73</v>
      </c>
      <c r="C9" s="21"/>
      <c r="D9" s="22"/>
      <c r="E9" s="22"/>
      <c r="F9" s="22"/>
      <c r="G9" s="23"/>
      <c r="H9" s="24"/>
      <c r="I9" s="7"/>
    </row>
    <row r="10">
      <c r="A10" s="4"/>
      <c r="B10" s="4"/>
      <c r="C10" s="4"/>
      <c r="D10" s="6"/>
      <c r="E10" s="6"/>
      <c r="F10" s="6"/>
      <c r="G10" s="7"/>
      <c r="H10" s="7"/>
      <c r="I10" s="7"/>
    </row>
    <row r="11">
      <c r="A11" s="4"/>
      <c r="B11" s="4"/>
      <c r="C11" s="4"/>
      <c r="D11" s="6"/>
      <c r="E11" s="6"/>
      <c r="F11" s="6"/>
      <c r="G11" s="7"/>
      <c r="H11" s="7"/>
      <c r="I11" s="7"/>
    </row>
    <row r="12">
      <c r="A12" s="25" t="s">
        <v>15</v>
      </c>
      <c r="B12" s="10" t="s">
        <v>16</v>
      </c>
      <c r="C12" s="10" t="s">
        <v>17</v>
      </c>
      <c r="D12" s="26" t="s">
        <v>18</v>
      </c>
      <c r="E12" s="11" t="s">
        <v>19</v>
      </c>
      <c r="F12" s="27" t="s">
        <v>20</v>
      </c>
      <c r="G12" s="7" t="s">
        <v>21</v>
      </c>
      <c r="H12" s="7" t="s">
        <v>22</v>
      </c>
      <c r="I12" s="7" t="s">
        <v>23</v>
      </c>
    </row>
    <row r="13">
      <c r="A13" s="28">
        <f t="array" ref="A13">AVERAGE(INDIRECT(CONCATENATE("'DATA'!H", count(DATA!H2:H1017)-18, ":H", count(DATA!H2:H1017)+1)))</f>
        <v>296.85</v>
      </c>
      <c r="B13" s="29">
        <f t="array" ref="B13">AVERAGE(INDIRECT(CONCATENATE("'DATA'!H", count(DATA!H2:H1017)-8, ":H", count(DATA!H2:H1017)+1)))</f>
        <v>368.4</v>
      </c>
      <c r="C13" s="21">
        <f t="array" ref="C13">AVERAGE(INDIRECT(CONCATENATE("'DATA'!H", count(DATA!H2:H1017)-3, ":H", count(DATA!H2:H1017)+1)))</f>
        <v>409.4</v>
      </c>
      <c r="D13" s="28">
        <f t="array" ref="D13">ROUND(STDEV(INDIRECT(CONCATENATE("'DATA'!H", count(DATA!H2:H1017)-18, ":H", count(DATA!H2:H1017)+1))), 2)</f>
        <v>153.18</v>
      </c>
      <c r="E13" s="21">
        <f t="array" ref="E13">ROUND(STDEV(INDIRECT(CONCATENATE("'DATA'!H", count(DATA!H2:H1017)-8, ":H", count(DATA!H2:H1017)+1))), 2)</f>
        <v>184.29</v>
      </c>
      <c r="F13" s="30">
        <f t="array" ref="F13">ROUND(STDEV(INDIRECT(CONCATENATE("'DATA'!H", count(DATA!H2:H1017)-3, ":H", count(DATA!H2:H1017)+1))), 2)</f>
        <v>233.67</v>
      </c>
      <c r="G13" s="31">
        <f>B13+E13</f>
        <v>552.69</v>
      </c>
      <c r="H13" s="31">
        <f>B13+2*E13</f>
        <v>736.98</v>
      </c>
      <c r="I13" s="31">
        <f>B13+3*E13</f>
        <v>921.27</v>
      </c>
    </row>
    <row r="14">
      <c r="A14" s="16"/>
      <c r="B14" s="16"/>
      <c r="C14" s="16"/>
      <c r="D14" s="16"/>
      <c r="E14" s="16"/>
      <c r="F14" s="16"/>
      <c r="G14" s="16"/>
      <c r="I14" s="16"/>
      <c r="J14" s="16"/>
    </row>
    <row r="15">
      <c r="A15" s="32" t="s">
        <v>24</v>
      </c>
      <c r="B15" s="33" t="s">
        <v>25</v>
      </c>
      <c r="C15" s="33" t="s">
        <v>26</v>
      </c>
      <c r="D15" s="33" t="s">
        <v>27</v>
      </c>
      <c r="E15" s="34" t="s">
        <v>28</v>
      </c>
      <c r="F15" s="16" t="s">
        <v>29</v>
      </c>
      <c r="G15" s="35">
        <v>6.0</v>
      </c>
      <c r="H15" s="16"/>
      <c r="I15" s="31"/>
      <c r="J15" s="31"/>
    </row>
    <row r="16">
      <c r="A16" s="36">
        <f>ROUND(SUMIF(DATA!A2:A400, "=1", DATA!H2:H400) / COUNTIF(DATA!A2:A400, "=1"), 2)</f>
        <v>262.95</v>
      </c>
      <c r="B16" s="37">
        <f>ROUND(SUMIF(DATA!A2:A400, "=2", DATA!H2:H400) / COUNTIF(DATA!A2:A400, "=2"), 2)</f>
        <v>294.58</v>
      </c>
      <c r="C16" s="37">
        <f>ROUND(SUMIF(DATA!A2:A400, "=3", DATA!H2:H400) / COUNTIF(DATA!A2:A400, "=3"), 2)</f>
        <v>256.09</v>
      </c>
      <c r="D16" s="37">
        <f>ROUND(SUMIF(DATA!A2:A400, "=4", DATA!H2:H400) / COUNTIF(DATA!A2:A400, "=4"), 2)</f>
        <v>217.39</v>
      </c>
      <c r="E16" s="38">
        <f>ROUND(SUMIF(DATA!A2:A400, "=5", DATA!H2:H400) / COUNTIF(DATA!A2:A400, "=5"), 2)</f>
        <v>240.82</v>
      </c>
      <c r="F16" s="16"/>
      <c r="G16" s="16"/>
      <c r="H16" s="16"/>
      <c r="I16" s="16"/>
      <c r="J16" s="31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2" t="s">
        <v>30</v>
      </c>
      <c r="B18" s="39"/>
      <c r="C18" s="39"/>
      <c r="D18" s="39"/>
      <c r="E18" s="40"/>
      <c r="J18" s="16"/>
    </row>
    <row r="19">
      <c r="A19" s="41" t="s">
        <v>31</v>
      </c>
      <c r="B19" s="42" t="s">
        <v>32</v>
      </c>
      <c r="C19" s="4" t="s">
        <v>33</v>
      </c>
      <c r="D19" s="4" t="s">
        <v>34</v>
      </c>
      <c r="E19" s="43" t="s">
        <v>35</v>
      </c>
    </row>
    <row r="20">
      <c r="A20" s="44">
        <f t="array" ref="A20">MIN(INDIRECT(CONCATENATE("'DATA'!H", count(DATA!H2:H1017)-18, ":H", count(DATA!H2:H1017)+1)))</f>
        <v>116</v>
      </c>
      <c r="B20" s="45">
        <f t="array" ref="B20">ROUND(AVERAGEIF(INDIRECT(CONCATENATE("'DATA'!H", count(DATA!H2:H1017)-18, ":H", count(DATA!H2:H1017)+1)), "&lt;"&amp;A13), 1)</f>
        <v>201.6</v>
      </c>
      <c r="C20" s="21">
        <f t="array" ref="C20">AVERAGE(INDIRECT(CONCATENATE("'DATA'!H", count(DATA!H2:H1017)-18, ":H", count(DATA!H2:H1017)+1)))</f>
        <v>296.85</v>
      </c>
      <c r="D20" s="21">
        <f t="array" ref="D20">ROUND(AVERAGEIF(INDIRECT(CONCATENATE("'DATA'!H", count(DATA!H2:H1017)-18, ":H", count(DATA!H2:H1017)+1)), "&gt;"&amp;A13), 1)</f>
        <v>439.8</v>
      </c>
      <c r="E20" s="30">
        <f t="array" ref="E20">MAX(INDIRECT(CONCATENATE("'DATA'!H", count(DATA!H2:H1017)-18, ":H", count(DATA!H2:H1017)+1)))</f>
        <v>734</v>
      </c>
    </row>
    <row r="22">
      <c r="A22" s="46" t="s">
        <v>36</v>
      </c>
      <c r="B22" s="39"/>
      <c r="C22" s="39"/>
      <c r="D22" s="39"/>
      <c r="E22" s="39"/>
      <c r="F22" s="39"/>
      <c r="G22" s="39"/>
      <c r="H22" s="39"/>
      <c r="I22" s="40"/>
    </row>
    <row r="23">
      <c r="A23" s="47"/>
      <c r="I23" s="48"/>
    </row>
    <row r="24">
      <c r="A24" s="49" t="s">
        <v>37</v>
      </c>
      <c r="I24" s="50"/>
    </row>
    <row r="25">
      <c r="A25" s="49" t="s">
        <v>38</v>
      </c>
      <c r="I25" s="50"/>
    </row>
    <row r="26">
      <c r="A26" s="49" t="s">
        <v>39</v>
      </c>
      <c r="I26" s="50"/>
    </row>
    <row r="27">
      <c r="A27" s="51" t="s">
        <v>40</v>
      </c>
      <c r="B27" s="52"/>
      <c r="C27" s="52"/>
      <c r="D27" s="52"/>
      <c r="E27" s="52"/>
      <c r="F27" s="52"/>
      <c r="G27" s="52"/>
      <c r="H27" s="52"/>
      <c r="I27" s="53"/>
    </row>
    <row r="29">
      <c r="A29" s="46" t="s">
        <v>41</v>
      </c>
      <c r="B29" s="39"/>
      <c r="C29" s="39"/>
      <c r="D29" s="39"/>
      <c r="E29" s="39"/>
      <c r="F29" s="39"/>
      <c r="G29" s="39"/>
      <c r="H29" s="39"/>
      <c r="I29" s="40"/>
    </row>
    <row r="30">
      <c r="A30" s="47"/>
      <c r="I30" s="48"/>
    </row>
    <row r="31">
      <c r="A31" s="54" t="s">
        <v>42</v>
      </c>
      <c r="B31" s="55"/>
      <c r="C31" s="52"/>
      <c r="D31" s="52"/>
      <c r="E31" s="52"/>
      <c r="F31" s="52"/>
      <c r="G31" s="52"/>
      <c r="H31" s="52"/>
      <c r="I31" s="53"/>
    </row>
    <row r="44">
      <c r="A44" s="56"/>
      <c r="B44" s="57"/>
    </row>
    <row r="45">
      <c r="A45" s="56"/>
      <c r="B45" s="57"/>
    </row>
    <row r="46">
      <c r="A46" s="56"/>
      <c r="B46" s="57"/>
    </row>
    <row r="47">
      <c r="A47" s="56"/>
      <c r="B47" s="57"/>
    </row>
    <row r="48">
      <c r="A48" s="56"/>
      <c r="B48" s="57"/>
    </row>
    <row r="49">
      <c r="A49" s="56"/>
      <c r="B49" s="57"/>
    </row>
    <row r="50">
      <c r="A50" s="56"/>
      <c r="B50" s="57"/>
    </row>
    <row r="51">
      <c r="A51" s="56"/>
      <c r="B51" s="57"/>
    </row>
    <row r="52">
      <c r="A52" s="56"/>
      <c r="B52" s="57"/>
    </row>
    <row r="53">
      <c r="A53" s="56"/>
      <c r="B53" s="57"/>
    </row>
    <row r="54">
      <c r="A54" s="56"/>
      <c r="B54" s="57"/>
    </row>
    <row r="55">
      <c r="A55" s="56"/>
      <c r="B55" s="57"/>
    </row>
    <row r="56">
      <c r="A56" s="56"/>
      <c r="B56" s="57"/>
    </row>
    <row r="57">
      <c r="A57" s="56"/>
      <c r="B57" s="57"/>
    </row>
    <row r="58">
      <c r="A58" s="56"/>
      <c r="B58" s="57"/>
    </row>
    <row r="59">
      <c r="A59" s="56"/>
      <c r="B59" s="57"/>
    </row>
    <row r="60" ht="1.5" customHeight="1">
      <c r="A60" s="56"/>
      <c r="B60" s="57"/>
    </row>
    <row r="61">
      <c r="A61" s="56"/>
      <c r="B61" s="57"/>
    </row>
    <row r="62">
      <c r="A62" s="56"/>
      <c r="B62" s="57"/>
    </row>
    <row r="63">
      <c r="A63" s="56"/>
      <c r="B63" s="57"/>
    </row>
    <row r="64">
      <c r="A64" s="56"/>
      <c r="B64" s="57"/>
    </row>
    <row r="65">
      <c r="A65" s="56"/>
      <c r="B65" s="57"/>
    </row>
    <row r="66">
      <c r="A66" s="56"/>
      <c r="B66" s="57"/>
    </row>
    <row r="67">
      <c r="A67" s="56"/>
      <c r="B67" s="57"/>
    </row>
    <row r="68">
      <c r="A68" s="56"/>
      <c r="B68" s="57"/>
    </row>
    <row r="69">
      <c r="A69" s="56"/>
      <c r="B69" s="57"/>
    </row>
    <row r="70">
      <c r="A70" s="56"/>
      <c r="B70" s="57"/>
    </row>
    <row r="71">
      <c r="A71" s="56"/>
      <c r="B71" s="57"/>
    </row>
    <row r="72">
      <c r="A72" s="56"/>
      <c r="B72" s="57"/>
    </row>
    <row r="73">
      <c r="A73" s="56"/>
      <c r="B73" s="57"/>
    </row>
    <row r="74">
      <c r="A74" s="56"/>
      <c r="B74" s="57"/>
    </row>
    <row r="75">
      <c r="A75" s="56"/>
      <c r="B75" s="57"/>
    </row>
    <row r="76">
      <c r="A76" s="56"/>
      <c r="B76" s="57"/>
    </row>
    <row r="77">
      <c r="A77" s="56"/>
      <c r="B77" s="57"/>
    </row>
    <row r="78">
      <c r="A78" s="56"/>
      <c r="B78" s="57"/>
    </row>
    <row r="79">
      <c r="A79" s="56"/>
      <c r="B79" s="57"/>
    </row>
    <row r="80">
      <c r="A80" s="56"/>
      <c r="B80" s="57"/>
    </row>
    <row r="81">
      <c r="A81" s="56"/>
    </row>
    <row r="82">
      <c r="A82" s="56"/>
    </row>
    <row r="83">
      <c r="A83" s="56"/>
    </row>
    <row r="84">
      <c r="A84" s="56"/>
    </row>
    <row r="85">
      <c r="A85" s="56"/>
    </row>
    <row r="86">
      <c r="A86" s="56"/>
    </row>
    <row r="87">
      <c r="A87" s="56"/>
    </row>
    <row r="88">
      <c r="A88" s="56"/>
    </row>
    <row r="89">
      <c r="A89" s="56"/>
    </row>
    <row r="90">
      <c r="A90" s="56"/>
    </row>
    <row r="91">
      <c r="A91" s="56" t="str">
        <f t="shared" ref="A91:A113" si="1">IF(ISBLANK(B91), "", WEEKDAY(B91,2))</f>
        <v/>
      </c>
      <c r="H91" s="58" t="str">
        <f t="shared" ref="H91:H113" si="2">IF(D91 &gt; 0, D91-E91, "")</f>
        <v/>
      </c>
      <c r="I91" s="58" t="str">
        <f t="shared" ref="I91:I113" si="3">IF(D91 &gt; 0, AVERAGE(H87:H91), "")</f>
        <v/>
      </c>
      <c r="J91" s="58" t="str">
        <f t="shared" ref="J91:J112" si="4">IF(D91 &gt; 0, AVERAGE(H82:H91), "")</f>
        <v/>
      </c>
      <c r="K91" s="58" t="str">
        <f t="shared" ref="K91:K112" si="5">IF(D91 &gt; 0, AVERAGE(H72:H91), "")</f>
        <v/>
      </c>
    </row>
    <row r="92">
      <c r="A92" s="56" t="str">
        <f t="shared" si="1"/>
        <v/>
      </c>
      <c r="H92" s="58" t="str">
        <f t="shared" si="2"/>
        <v/>
      </c>
      <c r="I92" s="58" t="str">
        <f t="shared" si="3"/>
        <v/>
      </c>
      <c r="J92" s="58" t="str">
        <f t="shared" si="4"/>
        <v/>
      </c>
      <c r="K92" s="58" t="str">
        <f t="shared" si="5"/>
        <v/>
      </c>
    </row>
    <row r="93">
      <c r="A93" s="56" t="str">
        <f t="shared" si="1"/>
        <v/>
      </c>
      <c r="H93" s="58" t="str">
        <f t="shared" si="2"/>
        <v/>
      </c>
      <c r="I93" s="58" t="str">
        <f t="shared" si="3"/>
        <v/>
      </c>
      <c r="J93" s="58" t="str">
        <f t="shared" si="4"/>
        <v/>
      </c>
      <c r="K93" s="58" t="str">
        <f t="shared" si="5"/>
        <v/>
      </c>
    </row>
    <row r="94">
      <c r="A94" s="56" t="str">
        <f t="shared" si="1"/>
        <v/>
      </c>
      <c r="H94" s="58" t="str">
        <f t="shared" si="2"/>
        <v/>
      </c>
      <c r="I94" s="58" t="str">
        <f t="shared" si="3"/>
        <v/>
      </c>
      <c r="J94" s="58" t="str">
        <f t="shared" si="4"/>
        <v/>
      </c>
      <c r="K94" s="58" t="str">
        <f t="shared" si="5"/>
        <v/>
      </c>
    </row>
    <row r="95">
      <c r="A95" s="56" t="str">
        <f t="shared" si="1"/>
        <v/>
      </c>
      <c r="H95" s="58" t="str">
        <f t="shared" si="2"/>
        <v/>
      </c>
      <c r="I95" s="58" t="str">
        <f t="shared" si="3"/>
        <v/>
      </c>
      <c r="J95" s="58" t="str">
        <f t="shared" si="4"/>
        <v/>
      </c>
      <c r="K95" s="58" t="str">
        <f t="shared" si="5"/>
        <v/>
      </c>
    </row>
    <row r="96">
      <c r="A96" s="56" t="str">
        <f t="shared" si="1"/>
        <v/>
      </c>
      <c r="H96" s="58" t="str">
        <f t="shared" si="2"/>
        <v/>
      </c>
      <c r="I96" s="58" t="str">
        <f t="shared" si="3"/>
        <v/>
      </c>
      <c r="J96" s="58" t="str">
        <f t="shared" si="4"/>
        <v/>
      </c>
      <c r="K96" s="58" t="str">
        <f t="shared" si="5"/>
        <v/>
      </c>
    </row>
    <row r="97">
      <c r="A97" s="56" t="str">
        <f t="shared" si="1"/>
        <v/>
      </c>
      <c r="H97" s="58" t="str">
        <f t="shared" si="2"/>
        <v/>
      </c>
      <c r="I97" s="58" t="str">
        <f t="shared" si="3"/>
        <v/>
      </c>
      <c r="J97" s="58" t="str">
        <f t="shared" si="4"/>
        <v/>
      </c>
      <c r="K97" s="58" t="str">
        <f t="shared" si="5"/>
        <v/>
      </c>
    </row>
    <row r="98">
      <c r="A98" s="56" t="str">
        <f t="shared" si="1"/>
        <v/>
      </c>
      <c r="H98" s="58" t="str">
        <f t="shared" si="2"/>
        <v/>
      </c>
      <c r="I98" s="58" t="str">
        <f t="shared" si="3"/>
        <v/>
      </c>
      <c r="J98" s="58" t="str">
        <f t="shared" si="4"/>
        <v/>
      </c>
      <c r="K98" s="58" t="str">
        <f t="shared" si="5"/>
        <v/>
      </c>
    </row>
    <row r="99">
      <c r="A99" s="56" t="str">
        <f t="shared" si="1"/>
        <v/>
      </c>
      <c r="H99" s="58" t="str">
        <f t="shared" si="2"/>
        <v/>
      </c>
      <c r="I99" s="58" t="str">
        <f t="shared" si="3"/>
        <v/>
      </c>
      <c r="J99" s="58" t="str">
        <f t="shared" si="4"/>
        <v/>
      </c>
      <c r="K99" s="58" t="str">
        <f t="shared" si="5"/>
        <v/>
      </c>
    </row>
    <row r="100">
      <c r="A100" s="56" t="str">
        <f t="shared" si="1"/>
        <v/>
      </c>
      <c r="H100" s="58" t="str">
        <f t="shared" si="2"/>
        <v/>
      </c>
      <c r="I100" s="58" t="str">
        <f t="shared" si="3"/>
        <v/>
      </c>
      <c r="J100" s="58" t="str">
        <f t="shared" si="4"/>
        <v/>
      </c>
      <c r="K100" s="58" t="str">
        <f t="shared" si="5"/>
        <v/>
      </c>
    </row>
    <row r="101">
      <c r="A101" s="56" t="str">
        <f t="shared" si="1"/>
        <v/>
      </c>
      <c r="H101" s="58" t="str">
        <f t="shared" si="2"/>
        <v/>
      </c>
      <c r="I101" s="58" t="str">
        <f t="shared" si="3"/>
        <v/>
      </c>
      <c r="J101" s="58" t="str">
        <f t="shared" si="4"/>
        <v/>
      </c>
      <c r="K101" s="58" t="str">
        <f t="shared" si="5"/>
        <v/>
      </c>
    </row>
    <row r="102">
      <c r="A102" s="56" t="str">
        <f t="shared" si="1"/>
        <v/>
      </c>
      <c r="H102" s="58" t="str">
        <f t="shared" si="2"/>
        <v/>
      </c>
      <c r="I102" s="58" t="str">
        <f t="shared" si="3"/>
        <v/>
      </c>
      <c r="J102" s="58" t="str">
        <f t="shared" si="4"/>
        <v/>
      </c>
      <c r="K102" s="58" t="str">
        <f t="shared" si="5"/>
        <v/>
      </c>
    </row>
    <row r="103">
      <c r="A103" s="56" t="str">
        <f t="shared" si="1"/>
        <v/>
      </c>
      <c r="H103" s="58" t="str">
        <f t="shared" si="2"/>
        <v/>
      </c>
      <c r="I103" s="58" t="str">
        <f t="shared" si="3"/>
        <v/>
      </c>
      <c r="J103" s="58" t="str">
        <f t="shared" si="4"/>
        <v/>
      </c>
      <c r="K103" s="58" t="str">
        <f t="shared" si="5"/>
        <v/>
      </c>
    </row>
    <row r="104">
      <c r="A104" s="56" t="str">
        <f t="shared" si="1"/>
        <v/>
      </c>
      <c r="H104" s="58" t="str">
        <f t="shared" si="2"/>
        <v/>
      </c>
      <c r="I104" s="58" t="str">
        <f t="shared" si="3"/>
        <v/>
      </c>
      <c r="J104" s="58" t="str">
        <f t="shared" si="4"/>
        <v/>
      </c>
      <c r="K104" s="58" t="str">
        <f t="shared" si="5"/>
        <v/>
      </c>
    </row>
    <row r="105">
      <c r="A105" s="56" t="str">
        <f t="shared" si="1"/>
        <v/>
      </c>
      <c r="H105" s="58" t="str">
        <f t="shared" si="2"/>
        <v/>
      </c>
      <c r="I105" s="58" t="str">
        <f t="shared" si="3"/>
        <v/>
      </c>
      <c r="J105" s="58" t="str">
        <f t="shared" si="4"/>
        <v/>
      </c>
      <c r="K105" s="58" t="str">
        <f t="shared" si="5"/>
        <v/>
      </c>
    </row>
    <row r="106">
      <c r="A106" s="56" t="str">
        <f t="shared" si="1"/>
        <v/>
      </c>
      <c r="H106" s="58" t="str">
        <f t="shared" si="2"/>
        <v/>
      </c>
      <c r="I106" s="58" t="str">
        <f t="shared" si="3"/>
        <v/>
      </c>
      <c r="J106" s="58" t="str">
        <f t="shared" si="4"/>
        <v/>
      </c>
      <c r="K106" s="58" t="str">
        <f t="shared" si="5"/>
        <v/>
      </c>
    </row>
    <row r="107">
      <c r="A107" s="56" t="str">
        <f t="shared" si="1"/>
        <v/>
      </c>
      <c r="H107" s="58" t="str">
        <f t="shared" si="2"/>
        <v/>
      </c>
      <c r="I107" s="58" t="str">
        <f t="shared" si="3"/>
        <v/>
      </c>
      <c r="J107" s="58" t="str">
        <f t="shared" si="4"/>
        <v/>
      </c>
      <c r="K107" s="58" t="str">
        <f t="shared" si="5"/>
        <v/>
      </c>
    </row>
    <row r="108">
      <c r="A108" s="56" t="str">
        <f t="shared" si="1"/>
        <v/>
      </c>
      <c r="H108" s="58" t="str">
        <f t="shared" si="2"/>
        <v/>
      </c>
      <c r="I108" s="58" t="str">
        <f t="shared" si="3"/>
        <v/>
      </c>
      <c r="J108" s="58" t="str">
        <f t="shared" si="4"/>
        <v/>
      </c>
      <c r="K108" s="58" t="str">
        <f t="shared" si="5"/>
        <v/>
      </c>
    </row>
    <row r="109">
      <c r="A109" s="56" t="str">
        <f t="shared" si="1"/>
        <v/>
      </c>
      <c r="H109" s="58" t="str">
        <f t="shared" si="2"/>
        <v/>
      </c>
      <c r="I109" s="58" t="str">
        <f t="shared" si="3"/>
        <v/>
      </c>
      <c r="J109" s="58" t="str">
        <f t="shared" si="4"/>
        <v/>
      </c>
      <c r="K109" s="58" t="str">
        <f t="shared" si="5"/>
        <v/>
      </c>
    </row>
    <row r="110">
      <c r="A110" s="56" t="str">
        <f t="shared" si="1"/>
        <v/>
      </c>
      <c r="H110" s="58" t="str">
        <f t="shared" si="2"/>
        <v/>
      </c>
      <c r="I110" s="58" t="str">
        <f t="shared" si="3"/>
        <v/>
      </c>
      <c r="J110" s="58" t="str">
        <f t="shared" si="4"/>
        <v/>
      </c>
      <c r="K110" s="58" t="str">
        <f t="shared" si="5"/>
        <v/>
      </c>
    </row>
    <row r="111">
      <c r="A111" s="56" t="str">
        <f t="shared" si="1"/>
        <v/>
      </c>
      <c r="H111" s="58" t="str">
        <f t="shared" si="2"/>
        <v/>
      </c>
      <c r="I111" s="58" t="str">
        <f t="shared" si="3"/>
        <v/>
      </c>
      <c r="J111" s="58" t="str">
        <f t="shared" si="4"/>
        <v/>
      </c>
      <c r="K111" s="58" t="str">
        <f t="shared" si="5"/>
        <v/>
      </c>
    </row>
    <row r="112">
      <c r="A112" s="56" t="str">
        <f t="shared" si="1"/>
        <v/>
      </c>
      <c r="H112" s="58" t="str">
        <f t="shared" si="2"/>
        <v/>
      </c>
      <c r="I112" s="58" t="str">
        <f t="shared" si="3"/>
        <v/>
      </c>
      <c r="J112" s="58" t="str">
        <f t="shared" si="4"/>
        <v/>
      </c>
      <c r="K112" s="58" t="str">
        <f t="shared" si="5"/>
        <v/>
      </c>
    </row>
    <row r="113">
      <c r="A113" s="56" t="str">
        <f t="shared" si="1"/>
        <v/>
      </c>
      <c r="H113" s="58" t="str">
        <f t="shared" si="2"/>
        <v/>
      </c>
      <c r="I113" s="58" t="str">
        <f t="shared" si="3"/>
        <v/>
      </c>
    </row>
    <row r="114">
      <c r="G114" s="58" t="str">
        <f t="shared" ref="G114:G115" si="6">IF(C114 &gt; 0, C114-D114, "")</f>
        <v/>
      </c>
    </row>
    <row r="115">
      <c r="G115" s="58" t="str">
        <f t="shared" si="6"/>
        <v/>
      </c>
    </row>
  </sheetData>
  <mergeCells count="4">
    <mergeCell ref="D1:I2"/>
    <mergeCell ref="A18:E18"/>
    <mergeCell ref="A22:I23"/>
    <mergeCell ref="A29:I30"/>
  </mergeCells>
  <conditionalFormatting sqref="G15">
    <cfRule type="notContainsBlanks" dxfId="0" priority="1">
      <formula>LEN(TRIM(G15))&gt;0</formula>
    </cfRule>
  </conditionalFormatting>
  <dataValidations>
    <dataValidation type="list" allowBlank="1" sqref="G15">
      <formula1>"3,4,5,6,7,8,9,10,11,12"</formula1>
    </dataValidation>
  </dataValidations>
  <hyperlinks>
    <hyperlink r:id="rId2" ref="A31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6" t="s">
        <v>43</v>
      </c>
      <c r="B1" s="16" t="s">
        <v>44</v>
      </c>
      <c r="C1" s="16" t="s">
        <v>45</v>
      </c>
      <c r="D1" s="16" t="s">
        <v>46</v>
      </c>
      <c r="E1" s="16" t="s">
        <v>47</v>
      </c>
      <c r="F1" s="16" t="s">
        <v>48</v>
      </c>
      <c r="G1" s="16" t="s">
        <v>49</v>
      </c>
      <c r="H1" s="16" t="s">
        <v>50</v>
      </c>
      <c r="I1" s="16" t="s">
        <v>51</v>
      </c>
      <c r="J1" s="16" t="s">
        <v>52</v>
      </c>
      <c r="K1" s="16" t="s">
        <v>53</v>
      </c>
      <c r="L1" s="6" t="s">
        <v>54</v>
      </c>
      <c r="M1" s="59" t="s">
        <v>55</v>
      </c>
    </row>
    <row r="2">
      <c r="A2" s="56">
        <f t="shared" ref="A2:A400" si="1">IF(ISBLANK(B2), "", WEEKDAY(B2,2))</f>
        <v>5</v>
      </c>
      <c r="B2" s="57">
        <v>45779.0</v>
      </c>
      <c r="C2" s="7">
        <v>20488.0</v>
      </c>
      <c r="D2" s="7">
        <v>20710.0</v>
      </c>
      <c r="E2" s="7">
        <v>20469.0</v>
      </c>
      <c r="F2" s="7">
        <v>20677.0</v>
      </c>
      <c r="G2" s="7">
        <v>61777.0</v>
      </c>
      <c r="H2" s="58">
        <f t="shared" ref="H2:H400" si="2">IF(D2 &gt; 0, D2-E2, "")</f>
        <v>241</v>
      </c>
      <c r="L2" s="6"/>
      <c r="M2" s="60" t="str">
        <f t="shared" ref="M2:M400" si="3">IF(D2&gt;0,IF(F2-C2&gt;0,"紅棒",IF(F2-C2&lt;0,"黑棒","")),"")</f>
        <v>紅棒</v>
      </c>
    </row>
    <row r="3">
      <c r="A3" s="56">
        <f t="shared" si="1"/>
        <v>1</v>
      </c>
      <c r="B3" s="57">
        <v>45782.0</v>
      </c>
      <c r="C3" s="7">
        <v>20757.0</v>
      </c>
      <c r="D3" s="7">
        <v>20796.0</v>
      </c>
      <c r="E3" s="7">
        <v>20206.0</v>
      </c>
      <c r="F3" s="7">
        <v>20404.0</v>
      </c>
      <c r="G3" s="7">
        <v>97067.0</v>
      </c>
      <c r="H3" s="58">
        <f t="shared" si="2"/>
        <v>590</v>
      </c>
      <c r="L3" s="6" t="str">
        <f t="shared" ref="L3:L400" si="4">IF(D3&gt;0,IF(C3-F2&gt;=F2*0.005,C3-F2,IF(F2-C3&gt;=F2*0.005,C3-F2,"")),"")</f>
        <v/>
      </c>
      <c r="M3" s="60" t="str">
        <f t="shared" si="3"/>
        <v>黑棒</v>
      </c>
    </row>
    <row r="4">
      <c r="A4" s="56">
        <f t="shared" si="1"/>
        <v>2</v>
      </c>
      <c r="B4" s="57">
        <v>45783.0</v>
      </c>
      <c r="C4" s="7">
        <v>20150.0</v>
      </c>
      <c r="D4" s="7">
        <v>20483.0</v>
      </c>
      <c r="E4" s="7">
        <v>20150.0</v>
      </c>
      <c r="F4" s="7">
        <v>20337.0</v>
      </c>
      <c r="G4" s="7">
        <v>69754.0</v>
      </c>
      <c r="H4" s="58">
        <f t="shared" si="2"/>
        <v>333</v>
      </c>
      <c r="L4" s="61">
        <f t="shared" si="4"/>
        <v>-254</v>
      </c>
      <c r="M4" s="60" t="str">
        <f t="shared" si="3"/>
        <v>紅棒</v>
      </c>
    </row>
    <row r="5">
      <c r="A5" s="56">
        <f t="shared" si="1"/>
        <v>3</v>
      </c>
      <c r="B5" s="57">
        <v>45784.0</v>
      </c>
      <c r="C5" s="7">
        <v>20440.0</v>
      </c>
      <c r="D5" s="7">
        <v>20560.0</v>
      </c>
      <c r="E5" s="7">
        <v>20265.0</v>
      </c>
      <c r="F5" s="7">
        <v>20381.0</v>
      </c>
      <c r="G5" s="7">
        <v>73631.0</v>
      </c>
      <c r="H5" s="58">
        <f t="shared" si="2"/>
        <v>295</v>
      </c>
      <c r="L5" s="6">
        <f t="shared" si="4"/>
        <v>103</v>
      </c>
      <c r="M5" s="60" t="str">
        <f t="shared" si="3"/>
        <v>黑棒</v>
      </c>
    </row>
    <row r="6">
      <c r="A6" s="56">
        <f t="shared" si="1"/>
        <v>4</v>
      </c>
      <c r="B6" s="57">
        <v>45785.0</v>
      </c>
      <c r="C6" s="7">
        <v>20475.0</v>
      </c>
      <c r="D6" s="7">
        <v>20695.0</v>
      </c>
      <c r="E6" s="7">
        <v>20452.0</v>
      </c>
      <c r="F6" s="7">
        <v>20575.0</v>
      </c>
      <c r="G6" s="7">
        <v>63264.0</v>
      </c>
      <c r="H6" s="58">
        <f t="shared" si="2"/>
        <v>243</v>
      </c>
      <c r="I6" s="58">
        <f t="shared" ref="I6:I400" si="5">IF(D6 &gt; 0, AVERAGE(H2:H6), "")</f>
        <v>340.4</v>
      </c>
      <c r="L6" s="62" t="str">
        <f t="shared" si="4"/>
        <v/>
      </c>
      <c r="M6" s="60" t="str">
        <f t="shared" si="3"/>
        <v>紅棒</v>
      </c>
    </row>
    <row r="7">
      <c r="A7" s="56">
        <f t="shared" si="1"/>
        <v>5</v>
      </c>
      <c r="B7" s="57">
        <v>45786.0</v>
      </c>
      <c r="C7" s="7">
        <v>20649.0</v>
      </c>
      <c r="D7" s="7">
        <v>20872.0</v>
      </c>
      <c r="E7" s="7">
        <v>20596.0</v>
      </c>
      <c r="F7" s="7">
        <v>20848.0</v>
      </c>
      <c r="G7" s="7">
        <v>67856.0</v>
      </c>
      <c r="H7" s="58">
        <f t="shared" si="2"/>
        <v>276</v>
      </c>
      <c r="I7" s="58">
        <f t="shared" si="5"/>
        <v>347.4</v>
      </c>
      <c r="L7" s="62" t="str">
        <f t="shared" si="4"/>
        <v/>
      </c>
      <c r="M7" s="60" t="str">
        <f t="shared" si="3"/>
        <v>紅棒</v>
      </c>
    </row>
    <row r="8">
      <c r="A8" s="56">
        <f t="shared" si="1"/>
        <v>1</v>
      </c>
      <c r="B8" s="57">
        <v>45789.0</v>
      </c>
      <c r="C8" s="7">
        <v>21015.0</v>
      </c>
      <c r="D8" s="7">
        <v>21134.0</v>
      </c>
      <c r="E8" s="7">
        <v>20978.0</v>
      </c>
      <c r="F8" s="7">
        <v>21066.0</v>
      </c>
      <c r="G8" s="7">
        <v>58691.0</v>
      </c>
      <c r="H8" s="58">
        <f t="shared" si="2"/>
        <v>156</v>
      </c>
      <c r="I8" s="58">
        <f t="shared" si="5"/>
        <v>260.6</v>
      </c>
      <c r="L8" s="6">
        <f t="shared" si="4"/>
        <v>167</v>
      </c>
      <c r="M8" s="60" t="str">
        <f t="shared" si="3"/>
        <v>紅棒</v>
      </c>
    </row>
    <row r="9">
      <c r="A9" s="56">
        <f t="shared" si="1"/>
        <v>2</v>
      </c>
      <c r="B9" s="57">
        <v>45790.0</v>
      </c>
      <c r="C9" s="7">
        <v>21421.0</v>
      </c>
      <c r="D9" s="7">
        <v>21520.0</v>
      </c>
      <c r="E9" s="7">
        <v>21288.0</v>
      </c>
      <c r="F9" s="7">
        <v>21360.0</v>
      </c>
      <c r="G9" s="7">
        <v>61021.0</v>
      </c>
      <c r="H9" s="58">
        <f t="shared" si="2"/>
        <v>232</v>
      </c>
      <c r="I9" s="58">
        <f t="shared" si="5"/>
        <v>240.4</v>
      </c>
      <c r="L9" s="61">
        <f t="shared" si="4"/>
        <v>355</v>
      </c>
      <c r="M9" s="60" t="str">
        <f t="shared" si="3"/>
        <v>黑棒</v>
      </c>
    </row>
    <row r="10">
      <c r="A10" s="56">
        <f t="shared" si="1"/>
        <v>3</v>
      </c>
      <c r="B10" s="57">
        <v>45791.0</v>
      </c>
      <c r="C10" s="7">
        <v>21677.0</v>
      </c>
      <c r="D10" s="7">
        <v>21787.0</v>
      </c>
      <c r="E10" s="7">
        <v>21579.0</v>
      </c>
      <c r="F10" s="7">
        <v>21768.0</v>
      </c>
      <c r="G10" s="7">
        <v>59116.0</v>
      </c>
      <c r="H10" s="58">
        <f t="shared" si="2"/>
        <v>208</v>
      </c>
      <c r="I10" s="58">
        <f t="shared" si="5"/>
        <v>223</v>
      </c>
      <c r="L10" s="6">
        <f t="shared" si="4"/>
        <v>317</v>
      </c>
      <c r="M10" s="60" t="str">
        <f t="shared" si="3"/>
        <v>紅棒</v>
      </c>
    </row>
    <row r="11">
      <c r="A11" s="56">
        <f t="shared" si="1"/>
        <v>4</v>
      </c>
      <c r="B11" s="57">
        <v>45792.0</v>
      </c>
      <c r="C11" s="7">
        <v>21776.0</v>
      </c>
      <c r="D11" s="7">
        <v>21810.0</v>
      </c>
      <c r="E11" s="7">
        <v>21676.0</v>
      </c>
      <c r="F11" s="7">
        <v>21694.0</v>
      </c>
      <c r="G11" s="7">
        <v>45704.0</v>
      </c>
      <c r="H11" s="58">
        <f t="shared" si="2"/>
        <v>134</v>
      </c>
      <c r="I11" s="58">
        <f t="shared" si="5"/>
        <v>201.2</v>
      </c>
      <c r="J11" s="58">
        <f t="shared" ref="J11:J400" si="6">IF(D11 &gt; 0, AVERAGE(H2:H11), "")</f>
        <v>270.8</v>
      </c>
      <c r="L11" s="62" t="str">
        <f t="shared" si="4"/>
        <v/>
      </c>
      <c r="M11" s="60" t="str">
        <f t="shared" si="3"/>
        <v>黑棒</v>
      </c>
    </row>
    <row r="12">
      <c r="A12" s="56">
        <f t="shared" si="1"/>
        <v>5</v>
      </c>
      <c r="B12" s="57">
        <v>45793.0</v>
      </c>
      <c r="C12" s="7">
        <v>21775.0</v>
      </c>
      <c r="D12" s="7">
        <v>21878.0</v>
      </c>
      <c r="E12" s="7">
        <v>21679.0</v>
      </c>
      <c r="F12" s="7">
        <v>21821.0</v>
      </c>
      <c r="G12" s="7">
        <v>55404.0</v>
      </c>
      <c r="H12" s="58">
        <f t="shared" si="2"/>
        <v>199</v>
      </c>
      <c r="I12" s="58">
        <f t="shared" si="5"/>
        <v>185.8</v>
      </c>
      <c r="J12" s="58">
        <f t="shared" si="6"/>
        <v>266.6</v>
      </c>
      <c r="L12" s="62" t="str">
        <f t="shared" si="4"/>
        <v/>
      </c>
      <c r="M12" s="60" t="str">
        <f t="shared" si="3"/>
        <v>紅棒</v>
      </c>
    </row>
    <row r="13">
      <c r="A13" s="56">
        <f t="shared" si="1"/>
        <v>1</v>
      </c>
      <c r="B13" s="57">
        <v>45796.0</v>
      </c>
      <c r="C13" s="7">
        <v>21682.0</v>
      </c>
      <c r="D13" s="7">
        <v>21748.0</v>
      </c>
      <c r="E13" s="7">
        <v>21499.0</v>
      </c>
      <c r="F13" s="7">
        <v>21538.0</v>
      </c>
      <c r="G13" s="7">
        <v>98203.0</v>
      </c>
      <c r="H13" s="58">
        <f t="shared" si="2"/>
        <v>249</v>
      </c>
      <c r="I13" s="58">
        <f t="shared" si="5"/>
        <v>204.4</v>
      </c>
      <c r="J13" s="58">
        <f t="shared" si="6"/>
        <v>232.5</v>
      </c>
      <c r="L13" s="62">
        <f t="shared" si="4"/>
        <v>-139</v>
      </c>
      <c r="M13" s="60" t="str">
        <f t="shared" si="3"/>
        <v>黑棒</v>
      </c>
    </row>
    <row r="14">
      <c r="A14" s="56">
        <f t="shared" si="1"/>
        <v>2</v>
      </c>
      <c r="B14" s="57">
        <v>45797.0</v>
      </c>
      <c r="C14" s="7">
        <v>21753.0</v>
      </c>
      <c r="D14" s="7">
        <v>21772.0</v>
      </c>
      <c r="E14" s="7">
        <v>21505.0</v>
      </c>
      <c r="F14" s="7">
        <v>21539.0</v>
      </c>
      <c r="G14" s="7">
        <v>81214.0</v>
      </c>
      <c r="H14" s="58">
        <f t="shared" si="2"/>
        <v>267</v>
      </c>
      <c r="I14" s="58">
        <f t="shared" si="5"/>
        <v>211.4</v>
      </c>
      <c r="J14" s="58">
        <f t="shared" si="6"/>
        <v>225.9</v>
      </c>
      <c r="L14" s="6">
        <f t="shared" si="4"/>
        <v>215</v>
      </c>
      <c r="M14" s="60" t="str">
        <f t="shared" si="3"/>
        <v>黑棒</v>
      </c>
    </row>
    <row r="15">
      <c r="A15" s="56">
        <f t="shared" si="1"/>
        <v>3</v>
      </c>
      <c r="B15" s="57">
        <v>45798.0</v>
      </c>
      <c r="C15" s="7">
        <v>21472.0</v>
      </c>
      <c r="D15" s="7">
        <v>21747.0</v>
      </c>
      <c r="E15" s="7">
        <v>21472.0</v>
      </c>
      <c r="F15" s="7">
        <v>21672.0</v>
      </c>
      <c r="G15" s="7">
        <v>44969.0</v>
      </c>
      <c r="H15" s="58">
        <f t="shared" si="2"/>
        <v>275</v>
      </c>
      <c r="I15" s="58">
        <f t="shared" si="5"/>
        <v>224.8</v>
      </c>
      <c r="J15" s="58">
        <f t="shared" si="6"/>
        <v>223.9</v>
      </c>
      <c r="L15" s="62" t="str">
        <f t="shared" si="4"/>
        <v/>
      </c>
      <c r="M15" s="60" t="str">
        <f t="shared" si="3"/>
        <v>紅棒</v>
      </c>
    </row>
    <row r="16">
      <c r="A16" s="56">
        <f t="shared" si="1"/>
        <v>4</v>
      </c>
      <c r="B16" s="57">
        <v>45799.0</v>
      </c>
      <c r="C16" s="7">
        <v>21465.0</v>
      </c>
      <c r="D16" s="7">
        <v>21550.0</v>
      </c>
      <c r="E16" s="7">
        <v>21396.0</v>
      </c>
      <c r="F16" s="7">
        <v>21503.0</v>
      </c>
      <c r="G16" s="7">
        <v>48283.0</v>
      </c>
      <c r="H16" s="58">
        <f t="shared" si="2"/>
        <v>154</v>
      </c>
      <c r="I16" s="58">
        <f t="shared" si="5"/>
        <v>228.8</v>
      </c>
      <c r="J16" s="58">
        <f t="shared" si="6"/>
        <v>215</v>
      </c>
      <c r="L16" s="61">
        <f t="shared" si="4"/>
        <v>-207</v>
      </c>
      <c r="M16" s="60" t="str">
        <f t="shared" si="3"/>
        <v>紅棒</v>
      </c>
    </row>
    <row r="17">
      <c r="A17" s="56">
        <f t="shared" si="1"/>
        <v>5</v>
      </c>
      <c r="B17" s="57">
        <v>45800.0</v>
      </c>
      <c r="C17" s="7">
        <v>21558.0</v>
      </c>
      <c r="D17" s="7">
        <v>21640.0</v>
      </c>
      <c r="E17" s="7">
        <v>21372.0</v>
      </c>
      <c r="F17" s="7">
        <v>21470.0</v>
      </c>
      <c r="G17" s="7">
        <v>51667.0</v>
      </c>
      <c r="H17" s="58">
        <f t="shared" si="2"/>
        <v>268</v>
      </c>
      <c r="I17" s="58">
        <f t="shared" si="5"/>
        <v>242.6</v>
      </c>
      <c r="J17" s="58">
        <f t="shared" si="6"/>
        <v>214.2</v>
      </c>
      <c r="L17" s="61" t="str">
        <f t="shared" si="4"/>
        <v/>
      </c>
      <c r="M17" s="60" t="str">
        <f t="shared" si="3"/>
        <v>黑棒</v>
      </c>
    </row>
    <row r="18">
      <c r="A18" s="56">
        <f t="shared" si="1"/>
        <v>1</v>
      </c>
      <c r="B18" s="57">
        <v>45803.0</v>
      </c>
      <c r="C18" s="7">
        <v>21450.0</v>
      </c>
      <c r="D18" s="7">
        <v>21569.0</v>
      </c>
      <c r="E18" s="7">
        <v>21357.0</v>
      </c>
      <c r="F18" s="7">
        <v>21385.0</v>
      </c>
      <c r="G18" s="7">
        <v>56961.0</v>
      </c>
      <c r="H18" s="58">
        <f t="shared" si="2"/>
        <v>212</v>
      </c>
      <c r="I18" s="58">
        <f t="shared" si="5"/>
        <v>235.2</v>
      </c>
      <c r="J18" s="58">
        <f t="shared" si="6"/>
        <v>219.8</v>
      </c>
      <c r="L18" s="62" t="str">
        <f t="shared" si="4"/>
        <v/>
      </c>
      <c r="M18" s="60" t="str">
        <f t="shared" si="3"/>
        <v>黑棒</v>
      </c>
    </row>
    <row r="19">
      <c r="A19" s="56">
        <f t="shared" si="1"/>
        <v>2</v>
      </c>
      <c r="B19" s="57">
        <v>45804.0</v>
      </c>
      <c r="C19" s="7">
        <v>21403.0</v>
      </c>
      <c r="D19" s="7">
        <v>21438.0</v>
      </c>
      <c r="E19" s="7">
        <v>21133.0</v>
      </c>
      <c r="F19" s="7">
        <v>21233.0</v>
      </c>
      <c r="G19" s="7">
        <v>61109.0</v>
      </c>
      <c r="H19" s="58">
        <f t="shared" si="2"/>
        <v>305</v>
      </c>
      <c r="I19" s="58">
        <f t="shared" si="5"/>
        <v>242.8</v>
      </c>
      <c r="J19" s="58">
        <f t="shared" si="6"/>
        <v>227.1</v>
      </c>
      <c r="L19" s="61" t="str">
        <f t="shared" si="4"/>
        <v/>
      </c>
      <c r="M19" s="60" t="str">
        <f t="shared" si="3"/>
        <v>黑棒</v>
      </c>
    </row>
    <row r="20">
      <c r="A20" s="56">
        <f t="shared" si="1"/>
        <v>3</v>
      </c>
      <c r="B20" s="57">
        <v>45805.0</v>
      </c>
      <c r="C20" s="7">
        <v>21420.0</v>
      </c>
      <c r="D20" s="7">
        <v>21512.0</v>
      </c>
      <c r="E20" s="7">
        <v>21150.0</v>
      </c>
      <c r="F20" s="7">
        <v>21252.0</v>
      </c>
      <c r="G20" s="7">
        <v>69146.0</v>
      </c>
      <c r="H20" s="58">
        <f t="shared" si="2"/>
        <v>362</v>
      </c>
      <c r="I20" s="58">
        <f t="shared" si="5"/>
        <v>260.2</v>
      </c>
      <c r="J20" s="58">
        <f t="shared" si="6"/>
        <v>242.5</v>
      </c>
      <c r="L20" s="62">
        <f t="shared" si="4"/>
        <v>187</v>
      </c>
      <c r="M20" s="60" t="str">
        <f t="shared" si="3"/>
        <v>黑棒</v>
      </c>
    </row>
    <row r="21">
      <c r="A21" s="56">
        <f t="shared" si="1"/>
        <v>4</v>
      </c>
      <c r="B21" s="57">
        <v>45806.0</v>
      </c>
      <c r="C21" s="7">
        <v>21513.0</v>
      </c>
      <c r="D21" s="7">
        <v>21616.0</v>
      </c>
      <c r="E21" s="7">
        <v>21275.0</v>
      </c>
      <c r="F21" s="7">
        <v>21320.0</v>
      </c>
      <c r="G21" s="7">
        <v>76415.0</v>
      </c>
      <c r="H21" s="58">
        <f t="shared" si="2"/>
        <v>341</v>
      </c>
      <c r="I21" s="58">
        <f t="shared" si="5"/>
        <v>297.6</v>
      </c>
      <c r="J21" s="58">
        <f t="shared" si="6"/>
        <v>263.2</v>
      </c>
      <c r="K21" s="58">
        <f t="shared" ref="K21:K400" si="7">IF(D21 &gt; 0, AVERAGE(H2:H21), "")</f>
        <v>267</v>
      </c>
      <c r="L21" s="62">
        <f t="shared" si="4"/>
        <v>261</v>
      </c>
      <c r="M21" s="60" t="str">
        <f t="shared" si="3"/>
        <v>黑棒</v>
      </c>
    </row>
    <row r="22">
      <c r="A22" s="56">
        <f t="shared" si="1"/>
        <v>1</v>
      </c>
      <c r="B22" s="57">
        <v>45810.0</v>
      </c>
      <c r="C22" s="7">
        <v>20976.0</v>
      </c>
      <c r="D22" s="7">
        <v>21049.0</v>
      </c>
      <c r="E22" s="7">
        <v>20790.0</v>
      </c>
      <c r="F22" s="7">
        <v>20866.0</v>
      </c>
      <c r="G22" s="7">
        <v>66441.0</v>
      </c>
      <c r="H22" s="58">
        <f t="shared" si="2"/>
        <v>259</v>
      </c>
      <c r="I22" s="58">
        <f t="shared" si="5"/>
        <v>295.8</v>
      </c>
      <c r="J22" s="58">
        <f t="shared" si="6"/>
        <v>269.2</v>
      </c>
      <c r="K22" s="58">
        <f t="shared" si="7"/>
        <v>267.9</v>
      </c>
      <c r="L22" s="62">
        <f t="shared" si="4"/>
        <v>-344</v>
      </c>
      <c r="M22" s="60" t="str">
        <f t="shared" si="3"/>
        <v>黑棒</v>
      </c>
    </row>
    <row r="23">
      <c r="A23" s="56">
        <f t="shared" si="1"/>
        <v>2</v>
      </c>
      <c r="B23" s="57">
        <v>45811.0</v>
      </c>
      <c r="C23" s="7">
        <v>21034.0</v>
      </c>
      <c r="D23" s="7">
        <v>21221.0</v>
      </c>
      <c r="E23" s="7">
        <v>20955.0</v>
      </c>
      <c r="F23" s="7">
        <v>20971.0</v>
      </c>
      <c r="G23" s="7">
        <v>64909.0</v>
      </c>
      <c r="H23" s="58">
        <f t="shared" si="2"/>
        <v>266</v>
      </c>
      <c r="I23" s="58">
        <f t="shared" si="5"/>
        <v>306.6</v>
      </c>
      <c r="J23" s="58">
        <f t="shared" si="6"/>
        <v>270.9</v>
      </c>
      <c r="K23" s="58">
        <f t="shared" si="7"/>
        <v>251.7</v>
      </c>
      <c r="L23" s="61">
        <f t="shared" si="4"/>
        <v>168</v>
      </c>
      <c r="M23" s="60" t="str">
        <f t="shared" si="3"/>
        <v>黑棒</v>
      </c>
    </row>
    <row r="24">
      <c r="A24" s="56">
        <f t="shared" si="1"/>
        <v>3</v>
      </c>
      <c r="B24" s="57">
        <v>45812.0</v>
      </c>
      <c r="C24" s="7">
        <v>21280.0</v>
      </c>
      <c r="D24" s="7">
        <v>21533.0</v>
      </c>
      <c r="E24" s="7">
        <v>21261.0</v>
      </c>
      <c r="F24" s="7">
        <v>21482.0</v>
      </c>
      <c r="G24" s="7">
        <v>61616.0</v>
      </c>
      <c r="H24" s="58">
        <f t="shared" si="2"/>
        <v>272</v>
      </c>
      <c r="I24" s="58">
        <f t="shared" si="5"/>
        <v>300</v>
      </c>
      <c r="J24" s="58">
        <f t="shared" si="6"/>
        <v>271.4</v>
      </c>
      <c r="K24" s="58">
        <f t="shared" si="7"/>
        <v>248.65</v>
      </c>
      <c r="L24" s="61">
        <f t="shared" si="4"/>
        <v>309</v>
      </c>
      <c r="M24" s="60" t="str">
        <f t="shared" si="3"/>
        <v>紅棒</v>
      </c>
    </row>
    <row r="25">
      <c r="A25" s="56">
        <f t="shared" si="1"/>
        <v>4</v>
      </c>
      <c r="B25" s="57">
        <v>45813.0</v>
      </c>
      <c r="C25" s="7">
        <v>21589.0</v>
      </c>
      <c r="D25" s="7">
        <v>21677.0</v>
      </c>
      <c r="E25" s="7">
        <v>21512.0</v>
      </c>
      <c r="F25" s="7">
        <v>21553.0</v>
      </c>
      <c r="G25" s="7">
        <v>46482.0</v>
      </c>
      <c r="H25" s="58">
        <f t="shared" si="2"/>
        <v>165</v>
      </c>
      <c r="I25" s="58">
        <f t="shared" si="5"/>
        <v>260.6</v>
      </c>
      <c r="J25" s="58">
        <f t="shared" si="6"/>
        <v>260.4</v>
      </c>
      <c r="K25" s="58">
        <f t="shared" si="7"/>
        <v>242.15</v>
      </c>
      <c r="L25" s="6" t="str">
        <f t="shared" si="4"/>
        <v/>
      </c>
      <c r="M25" s="60" t="str">
        <f t="shared" si="3"/>
        <v>黑棒</v>
      </c>
    </row>
    <row r="26">
      <c r="A26" s="56">
        <f t="shared" si="1"/>
        <v>5</v>
      </c>
      <c r="B26" s="57">
        <v>45814.0</v>
      </c>
      <c r="C26" s="7">
        <v>21599.0</v>
      </c>
      <c r="D26" s="7">
        <v>21630.0</v>
      </c>
      <c r="E26" s="7">
        <v>21513.0</v>
      </c>
      <c r="F26" s="7">
        <v>21578.0</v>
      </c>
      <c r="G26" s="7">
        <v>37655.0</v>
      </c>
      <c r="H26" s="58">
        <f t="shared" si="2"/>
        <v>117</v>
      </c>
      <c r="I26" s="58">
        <f t="shared" si="5"/>
        <v>215.8</v>
      </c>
      <c r="J26" s="58">
        <f t="shared" si="6"/>
        <v>256.7</v>
      </c>
      <c r="K26" s="58">
        <f t="shared" si="7"/>
        <v>235.85</v>
      </c>
      <c r="L26" s="6" t="str">
        <f t="shared" si="4"/>
        <v/>
      </c>
      <c r="M26" s="60" t="str">
        <f t="shared" si="3"/>
        <v>黑棒</v>
      </c>
    </row>
    <row r="27">
      <c r="A27" s="56">
        <f t="shared" si="1"/>
        <v>1</v>
      </c>
      <c r="B27" s="57">
        <v>45817.0</v>
      </c>
      <c r="C27" s="7">
        <v>21663.0</v>
      </c>
      <c r="D27" s="7">
        <v>21788.0</v>
      </c>
      <c r="E27" s="7">
        <v>21626.0</v>
      </c>
      <c r="F27" s="7">
        <v>21727.0</v>
      </c>
      <c r="G27" s="7">
        <v>43471.0</v>
      </c>
      <c r="H27" s="58">
        <f t="shared" si="2"/>
        <v>162</v>
      </c>
      <c r="I27" s="58">
        <f t="shared" si="5"/>
        <v>196.4</v>
      </c>
      <c r="J27" s="58">
        <f t="shared" si="6"/>
        <v>246.1</v>
      </c>
      <c r="K27" s="58">
        <f t="shared" si="7"/>
        <v>230.15</v>
      </c>
      <c r="L27" s="6" t="str">
        <f t="shared" si="4"/>
        <v/>
      </c>
      <c r="M27" s="60" t="str">
        <f t="shared" si="3"/>
        <v>紅棒</v>
      </c>
    </row>
    <row r="28">
      <c r="A28" s="56">
        <f t="shared" si="1"/>
        <v>2</v>
      </c>
      <c r="B28" s="57">
        <v>45818.0</v>
      </c>
      <c r="C28" s="7">
        <v>21879.0</v>
      </c>
      <c r="D28" s="7">
        <v>22236.0</v>
      </c>
      <c r="E28" s="7">
        <v>21850.0</v>
      </c>
      <c r="F28" s="7">
        <v>22113.0</v>
      </c>
      <c r="G28" s="7">
        <v>70320.0</v>
      </c>
      <c r="H28" s="58">
        <f t="shared" si="2"/>
        <v>386</v>
      </c>
      <c r="I28" s="58">
        <f t="shared" si="5"/>
        <v>220.4</v>
      </c>
      <c r="J28" s="58">
        <f t="shared" si="6"/>
        <v>263.5</v>
      </c>
      <c r="K28" s="58">
        <f t="shared" si="7"/>
        <v>241.65</v>
      </c>
      <c r="L28" s="61">
        <f t="shared" si="4"/>
        <v>152</v>
      </c>
      <c r="M28" s="60" t="str">
        <f t="shared" si="3"/>
        <v>紅棒</v>
      </c>
    </row>
    <row r="29">
      <c r="A29" s="56">
        <f t="shared" si="1"/>
        <v>3</v>
      </c>
      <c r="B29" s="57">
        <v>45819.0</v>
      </c>
      <c r="C29" s="7">
        <v>22296.0</v>
      </c>
      <c r="D29" s="7">
        <v>22355.0</v>
      </c>
      <c r="E29" s="7">
        <v>22190.0</v>
      </c>
      <c r="F29" s="7">
        <v>22351.0</v>
      </c>
      <c r="G29" s="7">
        <v>53385.0</v>
      </c>
      <c r="H29" s="58">
        <f t="shared" si="2"/>
        <v>165</v>
      </c>
      <c r="I29" s="58">
        <f t="shared" si="5"/>
        <v>199</v>
      </c>
      <c r="J29" s="58">
        <f t="shared" si="6"/>
        <v>249.5</v>
      </c>
      <c r="K29" s="58">
        <f t="shared" si="7"/>
        <v>238.3</v>
      </c>
      <c r="L29" s="61">
        <f t="shared" si="4"/>
        <v>183</v>
      </c>
      <c r="M29" s="60" t="str">
        <f t="shared" si="3"/>
        <v>紅棒</v>
      </c>
    </row>
    <row r="30">
      <c r="A30" s="56">
        <f t="shared" si="1"/>
        <v>4</v>
      </c>
      <c r="B30" s="57">
        <v>45820.0</v>
      </c>
      <c r="C30" s="7">
        <v>22315.0</v>
      </c>
      <c r="D30" s="7">
        <v>22329.0</v>
      </c>
      <c r="E30" s="7">
        <v>22214.0</v>
      </c>
      <c r="F30" s="7">
        <v>22252.0</v>
      </c>
      <c r="G30" s="7">
        <v>43973.0</v>
      </c>
      <c r="H30" s="58">
        <f t="shared" si="2"/>
        <v>115</v>
      </c>
      <c r="I30" s="58">
        <f t="shared" si="5"/>
        <v>189</v>
      </c>
      <c r="J30" s="58">
        <f t="shared" si="6"/>
        <v>224.8</v>
      </c>
      <c r="K30" s="58">
        <f t="shared" si="7"/>
        <v>233.65</v>
      </c>
      <c r="L30" s="6" t="str">
        <f t="shared" si="4"/>
        <v/>
      </c>
      <c r="M30" s="60" t="str">
        <f t="shared" si="3"/>
        <v>黑棒</v>
      </c>
    </row>
    <row r="31">
      <c r="A31" s="56">
        <f t="shared" si="1"/>
        <v>5</v>
      </c>
      <c r="B31" s="57">
        <v>45821.0</v>
      </c>
      <c r="C31" s="7">
        <v>21954.0</v>
      </c>
      <c r="D31" s="7">
        <v>22139.0</v>
      </c>
      <c r="E31" s="7">
        <v>21893.0</v>
      </c>
      <c r="F31" s="7">
        <v>21940.0</v>
      </c>
      <c r="G31" s="7">
        <v>87803.0</v>
      </c>
      <c r="H31" s="58">
        <f t="shared" si="2"/>
        <v>246</v>
      </c>
      <c r="I31" s="58">
        <f t="shared" si="5"/>
        <v>214.8</v>
      </c>
      <c r="J31" s="58">
        <f t="shared" si="6"/>
        <v>215.3</v>
      </c>
      <c r="K31" s="58">
        <f t="shared" si="7"/>
        <v>239.25</v>
      </c>
      <c r="L31" s="6">
        <f t="shared" si="4"/>
        <v>-298</v>
      </c>
      <c r="M31" s="60" t="str">
        <f t="shared" si="3"/>
        <v>黑棒</v>
      </c>
    </row>
    <row r="32">
      <c r="A32" s="56">
        <f t="shared" si="1"/>
        <v>1</v>
      </c>
      <c r="B32" s="57">
        <v>45824.0</v>
      </c>
      <c r="C32" s="7">
        <v>22030.0</v>
      </c>
      <c r="D32" s="7">
        <v>22061.0</v>
      </c>
      <c r="E32" s="7">
        <v>21868.0</v>
      </c>
      <c r="F32" s="7">
        <v>22032.0</v>
      </c>
      <c r="G32" s="7">
        <v>95307.0</v>
      </c>
      <c r="H32" s="58">
        <f t="shared" si="2"/>
        <v>193</v>
      </c>
      <c r="I32" s="58">
        <f t="shared" si="5"/>
        <v>221</v>
      </c>
      <c r="J32" s="58">
        <f t="shared" si="6"/>
        <v>208.7</v>
      </c>
      <c r="K32" s="58">
        <f t="shared" si="7"/>
        <v>238.95</v>
      </c>
      <c r="L32" s="6" t="str">
        <f t="shared" si="4"/>
        <v/>
      </c>
      <c r="M32" s="60" t="str">
        <f t="shared" si="3"/>
        <v>紅棒</v>
      </c>
    </row>
    <row r="33">
      <c r="A33" s="56">
        <f t="shared" si="1"/>
        <v>2</v>
      </c>
      <c r="B33" s="57">
        <v>45825.0</v>
      </c>
      <c r="C33" s="7">
        <v>22150.0</v>
      </c>
      <c r="D33" s="7">
        <v>22260.0</v>
      </c>
      <c r="E33" s="7">
        <v>22061.0</v>
      </c>
      <c r="F33" s="7">
        <v>22159.0</v>
      </c>
      <c r="G33" s="7">
        <v>88076.0</v>
      </c>
      <c r="H33" s="58">
        <f t="shared" si="2"/>
        <v>199</v>
      </c>
      <c r="I33" s="58">
        <f t="shared" si="5"/>
        <v>183.6</v>
      </c>
      <c r="J33" s="58">
        <f t="shared" si="6"/>
        <v>202</v>
      </c>
      <c r="K33" s="58">
        <f t="shared" si="7"/>
        <v>236.45</v>
      </c>
      <c r="L33" s="61">
        <f t="shared" si="4"/>
        <v>118</v>
      </c>
      <c r="M33" s="60" t="str">
        <f t="shared" si="3"/>
        <v>紅棒</v>
      </c>
    </row>
    <row r="34">
      <c r="A34" s="56">
        <f t="shared" si="1"/>
        <v>3</v>
      </c>
      <c r="B34" s="57">
        <v>45826.0</v>
      </c>
      <c r="C34" s="7">
        <v>21714.0</v>
      </c>
      <c r="D34" s="7">
        <v>21962.0</v>
      </c>
      <c r="E34" s="7">
        <v>21694.0</v>
      </c>
      <c r="F34" s="7">
        <v>21930.0</v>
      </c>
      <c r="G34" s="7">
        <v>40655.0</v>
      </c>
      <c r="H34" s="58">
        <f t="shared" si="2"/>
        <v>268</v>
      </c>
      <c r="I34" s="58">
        <f t="shared" si="5"/>
        <v>204.2</v>
      </c>
      <c r="J34" s="58">
        <f t="shared" si="6"/>
        <v>201.6</v>
      </c>
      <c r="K34" s="58">
        <f t="shared" si="7"/>
        <v>236.5</v>
      </c>
      <c r="L34" s="62">
        <f t="shared" si="4"/>
        <v>-445</v>
      </c>
      <c r="M34" s="60" t="str">
        <f t="shared" si="3"/>
        <v>紅棒</v>
      </c>
    </row>
    <row r="35">
      <c r="A35" s="56">
        <f t="shared" si="1"/>
        <v>4</v>
      </c>
      <c r="B35" s="57">
        <v>45827.0</v>
      </c>
      <c r="C35" s="7">
        <v>21820.0</v>
      </c>
      <c r="D35" s="7">
        <v>21857.0</v>
      </c>
      <c r="E35" s="7">
        <v>21675.0</v>
      </c>
      <c r="F35" s="7">
        <v>21704.0</v>
      </c>
      <c r="G35" s="7">
        <v>52900.0</v>
      </c>
      <c r="H35" s="58">
        <f t="shared" si="2"/>
        <v>182</v>
      </c>
      <c r="I35" s="58">
        <f t="shared" si="5"/>
        <v>217.6</v>
      </c>
      <c r="J35" s="58">
        <f t="shared" si="6"/>
        <v>203.3</v>
      </c>
      <c r="K35" s="58">
        <f t="shared" si="7"/>
        <v>231.85</v>
      </c>
      <c r="L35" s="6">
        <f t="shared" si="4"/>
        <v>-110</v>
      </c>
      <c r="M35" s="60" t="str">
        <f t="shared" si="3"/>
        <v>黑棒</v>
      </c>
    </row>
    <row r="36">
      <c r="A36" s="56">
        <f t="shared" si="1"/>
        <v>5</v>
      </c>
      <c r="B36" s="57">
        <v>45828.0</v>
      </c>
      <c r="C36" s="7">
        <v>21635.0</v>
      </c>
      <c r="D36" s="7">
        <v>21743.0</v>
      </c>
      <c r="E36" s="7">
        <v>21470.0</v>
      </c>
      <c r="F36" s="7">
        <v>21653.0</v>
      </c>
      <c r="G36" s="7">
        <v>67982.0</v>
      </c>
      <c r="H36" s="58">
        <f t="shared" si="2"/>
        <v>273</v>
      </c>
      <c r="I36" s="58">
        <f t="shared" si="5"/>
        <v>223</v>
      </c>
      <c r="J36" s="58">
        <f t="shared" si="6"/>
        <v>218.9</v>
      </c>
      <c r="K36" s="58">
        <f t="shared" si="7"/>
        <v>237.8</v>
      </c>
      <c r="L36" s="62" t="str">
        <f t="shared" si="4"/>
        <v/>
      </c>
      <c r="M36" s="60" t="str">
        <f t="shared" si="3"/>
        <v>紅棒</v>
      </c>
    </row>
    <row r="37">
      <c r="A37" s="56">
        <f t="shared" si="1"/>
        <v>1</v>
      </c>
      <c r="B37" s="57">
        <v>45831.0</v>
      </c>
      <c r="C37" s="7">
        <v>21350.0</v>
      </c>
      <c r="D37" s="7">
        <v>21484.0</v>
      </c>
      <c r="E37" s="7">
        <v>21205.0</v>
      </c>
      <c r="F37" s="7">
        <v>21473.0</v>
      </c>
      <c r="G37" s="7">
        <v>72002.0</v>
      </c>
      <c r="H37" s="58">
        <f t="shared" si="2"/>
        <v>279</v>
      </c>
      <c r="I37" s="58">
        <f t="shared" si="5"/>
        <v>240.2</v>
      </c>
      <c r="J37" s="58">
        <f t="shared" si="6"/>
        <v>230.6</v>
      </c>
      <c r="K37" s="58">
        <f t="shared" si="7"/>
        <v>238.35</v>
      </c>
      <c r="L37" s="61">
        <f t="shared" si="4"/>
        <v>-303</v>
      </c>
      <c r="M37" s="60" t="str">
        <f t="shared" si="3"/>
        <v>紅棒</v>
      </c>
    </row>
    <row r="38">
      <c r="A38" s="56">
        <f t="shared" si="1"/>
        <v>2</v>
      </c>
      <c r="B38" s="57">
        <v>45832.0</v>
      </c>
      <c r="C38" s="7">
        <v>21770.0</v>
      </c>
      <c r="D38" s="7">
        <v>21966.0</v>
      </c>
      <c r="E38" s="7">
        <v>21764.0</v>
      </c>
      <c r="F38" s="7">
        <v>21959.0</v>
      </c>
      <c r="G38" s="7">
        <v>69758.0</v>
      </c>
      <c r="H38" s="58">
        <f t="shared" si="2"/>
        <v>202</v>
      </c>
      <c r="I38" s="58">
        <f t="shared" si="5"/>
        <v>240.8</v>
      </c>
      <c r="J38" s="58">
        <f t="shared" si="6"/>
        <v>212.2</v>
      </c>
      <c r="K38" s="58">
        <f t="shared" si="7"/>
        <v>237.85</v>
      </c>
      <c r="L38" s="61">
        <f t="shared" si="4"/>
        <v>297</v>
      </c>
      <c r="M38" s="60" t="str">
        <f t="shared" si="3"/>
        <v>紅棒</v>
      </c>
    </row>
    <row r="39">
      <c r="A39" s="56">
        <f t="shared" si="1"/>
        <v>3</v>
      </c>
      <c r="B39" s="57">
        <v>45833.0</v>
      </c>
      <c r="C39" s="7">
        <v>22138.0</v>
      </c>
      <c r="D39" s="7">
        <v>22168.0</v>
      </c>
      <c r="E39" s="7">
        <v>22017.0</v>
      </c>
      <c r="F39" s="7">
        <v>22159.0</v>
      </c>
      <c r="G39" s="7">
        <v>49936.0</v>
      </c>
      <c r="H39" s="58">
        <f t="shared" si="2"/>
        <v>151</v>
      </c>
      <c r="I39" s="58">
        <f t="shared" si="5"/>
        <v>217.4</v>
      </c>
      <c r="J39" s="58">
        <f t="shared" si="6"/>
        <v>210.8</v>
      </c>
      <c r="K39" s="58">
        <f t="shared" si="7"/>
        <v>230.15</v>
      </c>
      <c r="L39" s="6">
        <f t="shared" si="4"/>
        <v>179</v>
      </c>
      <c r="M39" s="60" t="str">
        <f t="shared" si="3"/>
        <v>紅棒</v>
      </c>
    </row>
    <row r="40">
      <c r="A40" s="56">
        <f t="shared" si="1"/>
        <v>4</v>
      </c>
      <c r="B40" s="57">
        <v>45834.0</v>
      </c>
      <c r="C40" s="7">
        <v>22161.0</v>
      </c>
      <c r="D40" s="7">
        <v>22263.0</v>
      </c>
      <c r="E40" s="7">
        <v>22078.0</v>
      </c>
      <c r="F40" s="7">
        <v>22117.0</v>
      </c>
      <c r="G40" s="7">
        <v>59606.0</v>
      </c>
      <c r="H40" s="58">
        <f t="shared" si="2"/>
        <v>185</v>
      </c>
      <c r="I40" s="58">
        <f t="shared" si="5"/>
        <v>218</v>
      </c>
      <c r="J40" s="58">
        <f t="shared" si="6"/>
        <v>217.8</v>
      </c>
      <c r="K40" s="58">
        <f t="shared" si="7"/>
        <v>221.3</v>
      </c>
      <c r="L40" s="62" t="str">
        <f t="shared" si="4"/>
        <v/>
      </c>
      <c r="M40" s="60" t="str">
        <f t="shared" si="3"/>
        <v>黑棒</v>
      </c>
    </row>
    <row r="41">
      <c r="A41" s="56">
        <f t="shared" si="1"/>
        <v>5</v>
      </c>
      <c r="B41" s="57">
        <v>45835.0</v>
      </c>
      <c r="C41" s="7">
        <v>22197.0</v>
      </c>
      <c r="D41" s="7">
        <v>22221.0</v>
      </c>
      <c r="E41" s="7">
        <v>21989.0</v>
      </c>
      <c r="F41" s="7">
        <v>22121.0</v>
      </c>
      <c r="G41" s="7">
        <v>60785.0</v>
      </c>
      <c r="H41" s="58">
        <f t="shared" si="2"/>
        <v>232</v>
      </c>
      <c r="I41" s="58">
        <f t="shared" si="5"/>
        <v>209.8</v>
      </c>
      <c r="J41" s="58">
        <f t="shared" si="6"/>
        <v>216.4</v>
      </c>
      <c r="K41" s="58">
        <f t="shared" si="7"/>
        <v>215.85</v>
      </c>
      <c r="L41" s="62" t="str">
        <f t="shared" si="4"/>
        <v/>
      </c>
      <c r="M41" s="60" t="str">
        <f t="shared" si="3"/>
        <v>黑棒</v>
      </c>
    </row>
    <row r="42">
      <c r="A42" s="56">
        <f t="shared" si="1"/>
        <v>1</v>
      </c>
      <c r="B42" s="57">
        <v>45838.0</v>
      </c>
      <c r="C42" s="7">
        <v>22239.0</v>
      </c>
      <c r="D42" s="7">
        <v>22254.0</v>
      </c>
      <c r="E42" s="7">
        <v>22083.0</v>
      </c>
      <c r="F42" s="7">
        <v>22145.0</v>
      </c>
      <c r="G42" s="7">
        <v>50980.0</v>
      </c>
      <c r="H42" s="58">
        <f t="shared" si="2"/>
        <v>171</v>
      </c>
      <c r="I42" s="58">
        <f t="shared" si="5"/>
        <v>188.2</v>
      </c>
      <c r="J42" s="58">
        <f t="shared" si="6"/>
        <v>214.2</v>
      </c>
      <c r="K42" s="58">
        <f t="shared" si="7"/>
        <v>211.45</v>
      </c>
      <c r="L42" s="62">
        <f t="shared" si="4"/>
        <v>118</v>
      </c>
      <c r="M42" s="60" t="str">
        <f t="shared" si="3"/>
        <v>黑棒</v>
      </c>
    </row>
    <row r="43">
      <c r="A43" s="56">
        <f t="shared" si="1"/>
        <v>2</v>
      </c>
      <c r="B43" s="57">
        <v>45839.0</v>
      </c>
      <c r="C43" s="7">
        <v>22197.0</v>
      </c>
      <c r="D43" s="7">
        <v>22593.0</v>
      </c>
      <c r="E43" s="7">
        <v>22191.0</v>
      </c>
      <c r="F43" s="7">
        <v>22353.0</v>
      </c>
      <c r="G43" s="7">
        <v>86050.0</v>
      </c>
      <c r="H43" s="58">
        <f t="shared" si="2"/>
        <v>402</v>
      </c>
      <c r="I43" s="58">
        <f t="shared" si="5"/>
        <v>228.2</v>
      </c>
      <c r="J43" s="58">
        <f t="shared" si="6"/>
        <v>234.5</v>
      </c>
      <c r="K43" s="58">
        <f t="shared" si="7"/>
        <v>218.25</v>
      </c>
      <c r="L43" s="6" t="str">
        <f t="shared" si="4"/>
        <v/>
      </c>
      <c r="M43" s="60" t="str">
        <f t="shared" si="3"/>
        <v>紅棒</v>
      </c>
    </row>
    <row r="44">
      <c r="A44" s="56">
        <f t="shared" si="1"/>
        <v>3</v>
      </c>
      <c r="B44" s="57">
        <v>45840.0</v>
      </c>
      <c r="C44" s="7">
        <v>22298.0</v>
      </c>
      <c r="D44" s="7">
        <v>22401.0</v>
      </c>
      <c r="E44" s="7">
        <v>22208.0</v>
      </c>
      <c r="F44" s="7">
        <v>22396.0</v>
      </c>
      <c r="G44" s="7">
        <v>47593.0</v>
      </c>
      <c r="H44" s="58">
        <f t="shared" si="2"/>
        <v>193</v>
      </c>
      <c r="I44" s="58">
        <f t="shared" si="5"/>
        <v>236.6</v>
      </c>
      <c r="J44" s="58">
        <f t="shared" si="6"/>
        <v>227</v>
      </c>
      <c r="K44" s="58">
        <f t="shared" si="7"/>
        <v>214.3</v>
      </c>
      <c r="L44" s="62" t="str">
        <f t="shared" si="4"/>
        <v/>
      </c>
      <c r="M44" s="60" t="str">
        <f t="shared" si="3"/>
        <v>紅棒</v>
      </c>
    </row>
    <row r="45">
      <c r="A45" s="56">
        <f t="shared" si="1"/>
        <v>4</v>
      </c>
      <c r="B45" s="57">
        <v>45841.0</v>
      </c>
      <c r="C45" s="7">
        <v>22568.0</v>
      </c>
      <c r="D45" s="7">
        <v>22716.0</v>
      </c>
      <c r="E45" s="7">
        <v>22547.0</v>
      </c>
      <c r="F45" s="7">
        <v>22675.0</v>
      </c>
      <c r="G45" s="7">
        <v>53951.0</v>
      </c>
      <c r="H45" s="58">
        <f t="shared" si="2"/>
        <v>169</v>
      </c>
      <c r="I45" s="58">
        <f t="shared" si="5"/>
        <v>233.4</v>
      </c>
      <c r="J45" s="58">
        <f t="shared" si="6"/>
        <v>225.7</v>
      </c>
      <c r="K45" s="58">
        <f t="shared" si="7"/>
        <v>214.5</v>
      </c>
      <c r="L45" s="6">
        <f t="shared" si="4"/>
        <v>172</v>
      </c>
      <c r="M45" s="60" t="str">
        <f t="shared" si="3"/>
        <v>紅棒</v>
      </c>
    </row>
    <row r="46">
      <c r="A46" s="56">
        <f t="shared" si="1"/>
        <v>5</v>
      </c>
      <c r="B46" s="57">
        <v>45842.0</v>
      </c>
      <c r="C46" s="7">
        <v>22739.0</v>
      </c>
      <c r="D46" s="7">
        <v>22762.0</v>
      </c>
      <c r="E46" s="7">
        <v>22431.0</v>
      </c>
      <c r="F46" s="7">
        <v>22435.0</v>
      </c>
      <c r="G46" s="7">
        <v>56506.0</v>
      </c>
      <c r="H46" s="58">
        <f t="shared" si="2"/>
        <v>331</v>
      </c>
      <c r="I46" s="58">
        <f t="shared" si="5"/>
        <v>253.2</v>
      </c>
      <c r="J46" s="58">
        <f t="shared" si="6"/>
        <v>231.5</v>
      </c>
      <c r="K46" s="58">
        <f t="shared" si="7"/>
        <v>225.2</v>
      </c>
      <c r="L46" s="6" t="str">
        <f t="shared" si="4"/>
        <v/>
      </c>
      <c r="M46" s="60" t="str">
        <f t="shared" si="3"/>
        <v>黑棒</v>
      </c>
    </row>
    <row r="47">
      <c r="A47" s="56">
        <f t="shared" si="1"/>
        <v>1</v>
      </c>
      <c r="B47" s="57">
        <v>45845.0</v>
      </c>
      <c r="C47" s="7">
        <v>22349.0</v>
      </c>
      <c r="D47" s="7">
        <v>22506.0</v>
      </c>
      <c r="E47" s="7">
        <v>22244.0</v>
      </c>
      <c r="F47" s="7">
        <v>22336.0</v>
      </c>
      <c r="G47" s="7">
        <v>61023.0</v>
      </c>
      <c r="H47" s="58">
        <f t="shared" si="2"/>
        <v>262</v>
      </c>
      <c r="I47" s="58">
        <f t="shared" si="5"/>
        <v>271.4</v>
      </c>
      <c r="J47" s="58">
        <f t="shared" si="6"/>
        <v>229.8</v>
      </c>
      <c r="K47" s="58">
        <f t="shared" si="7"/>
        <v>230.2</v>
      </c>
      <c r="L47" s="6" t="str">
        <f t="shared" si="4"/>
        <v/>
      </c>
      <c r="M47" s="60" t="str">
        <f t="shared" si="3"/>
        <v>黑棒</v>
      </c>
    </row>
    <row r="48">
      <c r="A48" s="56">
        <f t="shared" si="1"/>
        <v>2</v>
      </c>
      <c r="B48" s="57">
        <v>45846.0</v>
      </c>
      <c r="C48" s="7">
        <v>22353.0</v>
      </c>
      <c r="D48" s="7">
        <v>22397.0</v>
      </c>
      <c r="E48" s="7">
        <v>22141.0</v>
      </c>
      <c r="F48" s="7">
        <v>22251.0</v>
      </c>
      <c r="G48" s="7">
        <v>63578.0</v>
      </c>
      <c r="H48" s="58">
        <f t="shared" si="2"/>
        <v>256</v>
      </c>
      <c r="I48" s="58">
        <f t="shared" si="5"/>
        <v>242.2</v>
      </c>
      <c r="J48" s="58">
        <f t="shared" si="6"/>
        <v>235.2</v>
      </c>
      <c r="K48" s="58">
        <f t="shared" si="7"/>
        <v>223.7</v>
      </c>
      <c r="L48" s="62" t="str">
        <f t="shared" si="4"/>
        <v/>
      </c>
      <c r="M48" s="60" t="str">
        <f t="shared" si="3"/>
        <v>黑棒</v>
      </c>
    </row>
    <row r="49">
      <c r="A49" s="56">
        <f t="shared" si="1"/>
        <v>3</v>
      </c>
      <c r="B49" s="57">
        <v>45847.0</v>
      </c>
      <c r="C49" s="7">
        <v>22250.0</v>
      </c>
      <c r="D49" s="7">
        <v>22473.0</v>
      </c>
      <c r="E49" s="7">
        <v>22146.0</v>
      </c>
      <c r="F49" s="7">
        <v>22434.0</v>
      </c>
      <c r="G49" s="7">
        <v>57715.0</v>
      </c>
      <c r="H49" s="58">
        <f t="shared" si="2"/>
        <v>327</v>
      </c>
      <c r="I49" s="58">
        <f t="shared" si="5"/>
        <v>269</v>
      </c>
      <c r="J49" s="58">
        <f t="shared" si="6"/>
        <v>252.8</v>
      </c>
      <c r="K49" s="58">
        <f t="shared" si="7"/>
        <v>231.8</v>
      </c>
      <c r="L49" s="6" t="str">
        <f t="shared" si="4"/>
        <v/>
      </c>
      <c r="M49" s="60" t="str">
        <f t="shared" si="3"/>
        <v>紅棒</v>
      </c>
    </row>
    <row r="50">
      <c r="A50" s="56">
        <f t="shared" si="1"/>
        <v>4</v>
      </c>
      <c r="B50" s="57">
        <v>45848.0</v>
      </c>
      <c r="C50" s="7">
        <v>22470.0</v>
      </c>
      <c r="D50" s="7">
        <v>22647.0</v>
      </c>
      <c r="E50" s="7">
        <v>22410.0</v>
      </c>
      <c r="F50" s="7">
        <v>22611.0</v>
      </c>
      <c r="G50" s="7">
        <v>58504.0</v>
      </c>
      <c r="H50" s="58">
        <f t="shared" si="2"/>
        <v>237</v>
      </c>
      <c r="I50" s="58">
        <f t="shared" si="5"/>
        <v>282.6</v>
      </c>
      <c r="J50" s="58">
        <f t="shared" si="6"/>
        <v>258</v>
      </c>
      <c r="K50" s="58">
        <f t="shared" si="7"/>
        <v>237.9</v>
      </c>
      <c r="L50" s="61" t="str">
        <f t="shared" si="4"/>
        <v/>
      </c>
      <c r="M50" s="60" t="str">
        <f t="shared" si="3"/>
        <v>紅棒</v>
      </c>
    </row>
    <row r="51">
      <c r="A51" s="56">
        <f t="shared" si="1"/>
        <v>5</v>
      </c>
      <c r="B51" s="57">
        <v>45849.0</v>
      </c>
      <c r="C51" s="7">
        <v>22519.0</v>
      </c>
      <c r="D51" s="7">
        <v>22774.0</v>
      </c>
      <c r="E51" s="7">
        <v>22488.0</v>
      </c>
      <c r="F51" s="7">
        <v>22764.0</v>
      </c>
      <c r="G51" s="7">
        <v>62637.0</v>
      </c>
      <c r="H51" s="58">
        <f t="shared" si="2"/>
        <v>286</v>
      </c>
      <c r="I51" s="58">
        <f t="shared" si="5"/>
        <v>273.6</v>
      </c>
      <c r="J51" s="58">
        <f t="shared" si="6"/>
        <v>263.4</v>
      </c>
      <c r="K51" s="58">
        <f t="shared" si="7"/>
        <v>239.9</v>
      </c>
      <c r="L51" s="6" t="str">
        <f t="shared" si="4"/>
        <v/>
      </c>
      <c r="M51" s="60" t="str">
        <f t="shared" si="3"/>
        <v>紅棒</v>
      </c>
    </row>
    <row r="52">
      <c r="A52" s="56">
        <f t="shared" si="1"/>
        <v>1</v>
      </c>
      <c r="B52" s="57">
        <v>45852.0</v>
      </c>
      <c r="C52" s="7">
        <v>22670.0</v>
      </c>
      <c r="D52" s="7">
        <v>22695.0</v>
      </c>
      <c r="E52" s="7">
        <v>22520.0</v>
      </c>
      <c r="F52" s="7">
        <v>22551.0</v>
      </c>
      <c r="G52" s="7">
        <v>90014.0</v>
      </c>
      <c r="H52" s="58">
        <f t="shared" si="2"/>
        <v>175</v>
      </c>
      <c r="I52" s="58">
        <f t="shared" si="5"/>
        <v>256.2</v>
      </c>
      <c r="J52" s="58">
        <f t="shared" si="6"/>
        <v>263.8</v>
      </c>
      <c r="K52" s="58">
        <f t="shared" si="7"/>
        <v>239</v>
      </c>
      <c r="L52" s="61" t="str">
        <f t="shared" si="4"/>
        <v/>
      </c>
      <c r="M52" s="60" t="str">
        <f t="shared" si="3"/>
        <v>黑棒</v>
      </c>
    </row>
    <row r="53">
      <c r="A53" s="56">
        <f t="shared" si="1"/>
        <v>2</v>
      </c>
      <c r="B53" s="57">
        <v>45853.0</v>
      </c>
      <c r="C53" s="7">
        <v>22529.0</v>
      </c>
      <c r="D53" s="7">
        <v>22882.0</v>
      </c>
      <c r="E53" s="7">
        <v>22512.0</v>
      </c>
      <c r="F53" s="7">
        <v>22810.0</v>
      </c>
      <c r="G53" s="7">
        <v>102751.0</v>
      </c>
      <c r="H53" s="58">
        <f t="shared" si="2"/>
        <v>370</v>
      </c>
      <c r="I53" s="58">
        <f t="shared" si="5"/>
        <v>279</v>
      </c>
      <c r="J53" s="58">
        <f t="shared" si="6"/>
        <v>260.6</v>
      </c>
      <c r="K53" s="58">
        <f t="shared" si="7"/>
        <v>247.55</v>
      </c>
      <c r="L53" s="62" t="str">
        <f t="shared" si="4"/>
        <v/>
      </c>
      <c r="M53" s="60" t="str">
        <f t="shared" si="3"/>
        <v>紅棒</v>
      </c>
    </row>
    <row r="54">
      <c r="A54" s="56">
        <f t="shared" si="1"/>
        <v>3</v>
      </c>
      <c r="B54" s="57">
        <v>45854.0</v>
      </c>
      <c r="C54" s="7">
        <v>22704.0</v>
      </c>
      <c r="D54" s="7">
        <v>22998.0</v>
      </c>
      <c r="E54" s="7">
        <v>22701.0</v>
      </c>
      <c r="F54" s="7">
        <v>22920.0</v>
      </c>
      <c r="G54" s="7">
        <v>42855.0</v>
      </c>
      <c r="H54" s="58">
        <f t="shared" si="2"/>
        <v>297</v>
      </c>
      <c r="I54" s="58">
        <f t="shared" si="5"/>
        <v>273</v>
      </c>
      <c r="J54" s="58">
        <f t="shared" si="6"/>
        <v>271</v>
      </c>
      <c r="K54" s="58">
        <f t="shared" si="7"/>
        <v>249</v>
      </c>
      <c r="L54" s="62" t="str">
        <f t="shared" si="4"/>
        <v/>
      </c>
      <c r="M54" s="60" t="str">
        <f t="shared" si="3"/>
        <v>紅棒</v>
      </c>
    </row>
    <row r="55">
      <c r="A55" s="56">
        <f t="shared" si="1"/>
        <v>4</v>
      </c>
      <c r="B55" s="57">
        <v>45855.0</v>
      </c>
      <c r="C55" s="7">
        <v>22958.0</v>
      </c>
      <c r="D55" s="7">
        <v>23150.0</v>
      </c>
      <c r="E55" s="7">
        <v>22866.0</v>
      </c>
      <c r="F55" s="7">
        <v>23148.0</v>
      </c>
      <c r="G55" s="7">
        <v>60136.0</v>
      </c>
      <c r="H55" s="58">
        <f t="shared" si="2"/>
        <v>284</v>
      </c>
      <c r="I55" s="58">
        <f t="shared" si="5"/>
        <v>282.4</v>
      </c>
      <c r="J55" s="58">
        <f t="shared" si="6"/>
        <v>282.5</v>
      </c>
      <c r="K55" s="58">
        <f t="shared" si="7"/>
        <v>254.1</v>
      </c>
      <c r="L55" s="6" t="str">
        <f t="shared" si="4"/>
        <v/>
      </c>
      <c r="M55" s="60" t="str">
        <f t="shared" si="3"/>
        <v>紅棒</v>
      </c>
    </row>
    <row r="56">
      <c r="A56" s="56">
        <f t="shared" si="1"/>
        <v>5</v>
      </c>
      <c r="B56" s="57">
        <v>45856.0</v>
      </c>
      <c r="C56" s="7">
        <v>23350.0</v>
      </c>
      <c r="D56" s="7">
        <v>23399.0</v>
      </c>
      <c r="E56" s="7">
        <v>23230.0</v>
      </c>
      <c r="F56" s="7">
        <v>23262.0</v>
      </c>
      <c r="G56" s="7">
        <v>51164.0</v>
      </c>
      <c r="H56" s="58">
        <f t="shared" si="2"/>
        <v>169</v>
      </c>
      <c r="I56" s="58">
        <f t="shared" si="5"/>
        <v>259</v>
      </c>
      <c r="J56" s="58">
        <f t="shared" si="6"/>
        <v>266.3</v>
      </c>
      <c r="K56" s="58">
        <f t="shared" si="7"/>
        <v>248.9</v>
      </c>
      <c r="L56" s="62">
        <f t="shared" si="4"/>
        <v>202</v>
      </c>
      <c r="M56" s="60" t="str">
        <f t="shared" si="3"/>
        <v>黑棒</v>
      </c>
    </row>
    <row r="57">
      <c r="A57" s="56">
        <f t="shared" si="1"/>
        <v>1</v>
      </c>
      <c r="B57" s="57">
        <v>45859.0</v>
      </c>
      <c r="C57" s="7">
        <v>23234.0</v>
      </c>
      <c r="D57" s="7">
        <v>23301.0</v>
      </c>
      <c r="E57" s="7">
        <v>23172.0</v>
      </c>
      <c r="F57" s="7">
        <v>23228.0</v>
      </c>
      <c r="G57" s="7">
        <v>40802.0</v>
      </c>
      <c r="H57" s="58">
        <f t="shared" si="2"/>
        <v>129</v>
      </c>
      <c r="I57" s="58">
        <f t="shared" si="5"/>
        <v>249.8</v>
      </c>
      <c r="J57" s="58">
        <f t="shared" si="6"/>
        <v>253</v>
      </c>
      <c r="K57" s="58">
        <f t="shared" si="7"/>
        <v>241.4</v>
      </c>
      <c r="L57" s="6" t="str">
        <f t="shared" si="4"/>
        <v/>
      </c>
      <c r="M57" s="60" t="str">
        <f t="shared" si="3"/>
        <v>黑棒</v>
      </c>
    </row>
    <row r="58">
      <c r="A58" s="56">
        <f t="shared" si="1"/>
        <v>2</v>
      </c>
      <c r="B58" s="57">
        <v>45860.0</v>
      </c>
      <c r="C58" s="7">
        <v>23241.0</v>
      </c>
      <c r="D58" s="7">
        <v>23406.0</v>
      </c>
      <c r="E58" s="7">
        <v>22977.0</v>
      </c>
      <c r="F58" s="7">
        <v>22990.0</v>
      </c>
      <c r="G58" s="7">
        <v>77037.0</v>
      </c>
      <c r="H58" s="58">
        <f t="shared" si="2"/>
        <v>429</v>
      </c>
      <c r="I58" s="58">
        <f t="shared" si="5"/>
        <v>261.6</v>
      </c>
      <c r="J58" s="58">
        <f t="shared" si="6"/>
        <v>270.3</v>
      </c>
      <c r="K58" s="58">
        <f t="shared" si="7"/>
        <v>252.75</v>
      </c>
      <c r="L58" s="61" t="str">
        <f t="shared" si="4"/>
        <v/>
      </c>
      <c r="M58" s="60" t="str">
        <f t="shared" si="3"/>
        <v>黑棒</v>
      </c>
    </row>
    <row r="59">
      <c r="A59" s="56">
        <f t="shared" si="1"/>
        <v>3</v>
      </c>
      <c r="B59" s="57">
        <v>45861.0</v>
      </c>
      <c r="C59" s="7">
        <v>23006.0</v>
      </c>
      <c r="D59" s="7">
        <v>23258.0</v>
      </c>
      <c r="E59" s="7">
        <v>23000.0</v>
      </c>
      <c r="F59" s="7">
        <v>23186.0</v>
      </c>
      <c r="G59" s="7">
        <v>63250.0</v>
      </c>
      <c r="H59" s="58">
        <f t="shared" si="2"/>
        <v>258</v>
      </c>
      <c r="I59" s="58">
        <f t="shared" si="5"/>
        <v>253.8</v>
      </c>
      <c r="J59" s="58">
        <f t="shared" si="6"/>
        <v>263.4</v>
      </c>
      <c r="K59" s="58">
        <f t="shared" si="7"/>
        <v>258.1</v>
      </c>
      <c r="L59" s="62" t="str">
        <f t="shared" si="4"/>
        <v/>
      </c>
      <c r="M59" s="60" t="str">
        <f t="shared" si="3"/>
        <v>紅棒</v>
      </c>
    </row>
    <row r="60">
      <c r="A60" s="56">
        <f t="shared" si="1"/>
        <v>4</v>
      </c>
      <c r="B60" s="57">
        <v>45862.0</v>
      </c>
      <c r="C60" s="7">
        <v>23400.0</v>
      </c>
      <c r="D60" s="7">
        <v>23408.0</v>
      </c>
      <c r="E60" s="7">
        <v>23229.0</v>
      </c>
      <c r="F60" s="7">
        <v>23310.0</v>
      </c>
      <c r="G60" s="7">
        <v>46341.0</v>
      </c>
      <c r="H60" s="58">
        <f t="shared" si="2"/>
        <v>179</v>
      </c>
      <c r="I60" s="58">
        <f t="shared" si="5"/>
        <v>232.8</v>
      </c>
      <c r="J60" s="58">
        <f t="shared" si="6"/>
        <v>257.6</v>
      </c>
      <c r="K60" s="58">
        <f t="shared" si="7"/>
        <v>257.8</v>
      </c>
      <c r="L60" s="6">
        <f t="shared" si="4"/>
        <v>214</v>
      </c>
      <c r="M60" s="60" t="str">
        <f t="shared" si="3"/>
        <v>黑棒</v>
      </c>
    </row>
    <row r="61">
      <c r="A61" s="56">
        <f t="shared" si="1"/>
        <v>5</v>
      </c>
      <c r="B61" s="57">
        <v>45863.0</v>
      </c>
      <c r="C61" s="7">
        <v>23264.0</v>
      </c>
      <c r="D61" s="7">
        <v>23328.0</v>
      </c>
      <c r="E61" s="7">
        <v>23207.0</v>
      </c>
      <c r="F61" s="7">
        <v>23238.0</v>
      </c>
      <c r="G61" s="7">
        <v>43044.0</v>
      </c>
      <c r="H61" s="58">
        <f t="shared" si="2"/>
        <v>121</v>
      </c>
      <c r="I61" s="58">
        <f t="shared" si="5"/>
        <v>223.2</v>
      </c>
      <c r="J61" s="58">
        <f t="shared" si="6"/>
        <v>241.1</v>
      </c>
      <c r="K61" s="58">
        <f t="shared" si="7"/>
        <v>252.25</v>
      </c>
      <c r="L61" s="61" t="str">
        <f t="shared" si="4"/>
        <v/>
      </c>
      <c r="M61" s="60" t="str">
        <f t="shared" si="3"/>
        <v>黑棒</v>
      </c>
    </row>
    <row r="62">
      <c r="A62" s="56">
        <f t="shared" si="1"/>
        <v>1</v>
      </c>
      <c r="B62" s="57">
        <v>45866.0</v>
      </c>
      <c r="C62" s="7">
        <v>23368.0</v>
      </c>
      <c r="D62" s="7">
        <v>23483.0</v>
      </c>
      <c r="E62" s="7">
        <v>23265.0</v>
      </c>
      <c r="F62" s="7">
        <v>23392.0</v>
      </c>
      <c r="G62" s="7">
        <v>55104.0</v>
      </c>
      <c r="H62" s="58">
        <f t="shared" si="2"/>
        <v>218</v>
      </c>
      <c r="I62" s="58">
        <f t="shared" si="5"/>
        <v>241</v>
      </c>
      <c r="J62" s="58">
        <f t="shared" si="6"/>
        <v>245.4</v>
      </c>
      <c r="K62" s="58">
        <f t="shared" si="7"/>
        <v>254.6</v>
      </c>
      <c r="L62" s="62">
        <f t="shared" si="4"/>
        <v>130</v>
      </c>
      <c r="M62" s="60" t="str">
        <f t="shared" si="3"/>
        <v>紅棒</v>
      </c>
    </row>
    <row r="63">
      <c r="A63" s="56">
        <f t="shared" si="1"/>
        <v>2</v>
      </c>
      <c r="B63" s="57">
        <v>45867.0</v>
      </c>
      <c r="C63" s="7">
        <v>23326.0</v>
      </c>
      <c r="D63" s="7">
        <v>23359.0</v>
      </c>
      <c r="E63" s="7">
        <v>23027.0</v>
      </c>
      <c r="F63" s="7">
        <v>23163.0</v>
      </c>
      <c r="G63" s="7">
        <v>73363.0</v>
      </c>
      <c r="H63" s="58">
        <f t="shared" si="2"/>
        <v>332</v>
      </c>
      <c r="I63" s="58">
        <f t="shared" si="5"/>
        <v>221.6</v>
      </c>
      <c r="J63" s="58">
        <f t="shared" si="6"/>
        <v>241.6</v>
      </c>
      <c r="K63" s="58">
        <f t="shared" si="7"/>
        <v>251.1</v>
      </c>
      <c r="L63" s="62" t="str">
        <f t="shared" si="4"/>
        <v/>
      </c>
      <c r="M63" s="60" t="str">
        <f t="shared" si="3"/>
        <v>黑棒</v>
      </c>
    </row>
    <row r="64">
      <c r="A64" s="56">
        <f t="shared" si="1"/>
        <v>3</v>
      </c>
      <c r="B64" s="57">
        <v>45868.0</v>
      </c>
      <c r="C64" s="7">
        <v>23213.0</v>
      </c>
      <c r="D64" s="7">
        <v>23421.0</v>
      </c>
      <c r="E64" s="7">
        <v>23198.0</v>
      </c>
      <c r="F64" s="7">
        <v>23361.0</v>
      </c>
      <c r="G64" s="7">
        <v>72116.0</v>
      </c>
      <c r="H64" s="58">
        <f t="shared" si="2"/>
        <v>223</v>
      </c>
      <c r="I64" s="58">
        <f t="shared" si="5"/>
        <v>214.6</v>
      </c>
      <c r="J64" s="58">
        <f t="shared" si="6"/>
        <v>234.2</v>
      </c>
      <c r="K64" s="58">
        <f t="shared" si="7"/>
        <v>252.6</v>
      </c>
      <c r="L64" s="62" t="str">
        <f t="shared" si="4"/>
        <v/>
      </c>
      <c r="M64" s="60" t="str">
        <f t="shared" si="3"/>
        <v>紅棒</v>
      </c>
    </row>
    <row r="65">
      <c r="A65" s="56">
        <f t="shared" si="1"/>
        <v>4</v>
      </c>
      <c r="B65" s="57">
        <v>45869.0</v>
      </c>
      <c r="C65" s="7">
        <v>23497.0</v>
      </c>
      <c r="D65" s="7">
        <v>23621.0</v>
      </c>
      <c r="E65" s="7">
        <v>23355.0</v>
      </c>
      <c r="F65" s="7">
        <v>23589.0</v>
      </c>
      <c r="G65" s="7">
        <v>66444.0</v>
      </c>
      <c r="H65" s="58">
        <f t="shared" si="2"/>
        <v>266</v>
      </c>
      <c r="I65" s="58">
        <f t="shared" si="5"/>
        <v>232</v>
      </c>
      <c r="J65" s="58">
        <f t="shared" si="6"/>
        <v>232.4</v>
      </c>
      <c r="K65" s="58">
        <f t="shared" si="7"/>
        <v>257.45</v>
      </c>
      <c r="L65" s="6">
        <f t="shared" si="4"/>
        <v>136</v>
      </c>
      <c r="M65" s="60" t="str">
        <f t="shared" si="3"/>
        <v>紅棒</v>
      </c>
    </row>
    <row r="66">
      <c r="A66" s="56">
        <f t="shared" si="1"/>
        <v>5</v>
      </c>
      <c r="B66" s="57">
        <v>45870.0</v>
      </c>
      <c r="C66" s="7">
        <v>23064.0</v>
      </c>
      <c r="D66" s="7">
        <v>23442.0</v>
      </c>
      <c r="E66" s="7">
        <v>23048.0</v>
      </c>
      <c r="F66" s="7">
        <v>23344.0</v>
      </c>
      <c r="G66" s="7">
        <v>69641.0</v>
      </c>
      <c r="H66" s="58">
        <f t="shared" si="2"/>
        <v>394</v>
      </c>
      <c r="I66" s="58">
        <f t="shared" si="5"/>
        <v>286.6</v>
      </c>
      <c r="J66" s="58">
        <f t="shared" si="6"/>
        <v>254.9</v>
      </c>
      <c r="K66" s="58">
        <f t="shared" si="7"/>
        <v>260.6</v>
      </c>
      <c r="L66" s="62">
        <f t="shared" si="4"/>
        <v>-525</v>
      </c>
      <c r="M66" s="60" t="str">
        <f t="shared" si="3"/>
        <v>紅棒</v>
      </c>
    </row>
    <row r="67">
      <c r="A67" s="56">
        <f t="shared" si="1"/>
        <v>1</v>
      </c>
      <c r="B67" s="57">
        <v>45873.0</v>
      </c>
      <c r="C67" s="7">
        <v>23108.0</v>
      </c>
      <c r="D67" s="7">
        <v>23300.0</v>
      </c>
      <c r="E67" s="7">
        <v>23032.0</v>
      </c>
      <c r="F67" s="7">
        <v>23260.0</v>
      </c>
      <c r="G67" s="7">
        <v>55560.0</v>
      </c>
      <c r="H67" s="58">
        <f t="shared" si="2"/>
        <v>268</v>
      </c>
      <c r="I67" s="58">
        <f t="shared" si="5"/>
        <v>296.6</v>
      </c>
      <c r="J67" s="58">
        <f t="shared" si="6"/>
        <v>268.8</v>
      </c>
      <c r="K67" s="58">
        <f t="shared" si="7"/>
        <v>260.9</v>
      </c>
      <c r="L67" s="61">
        <f t="shared" si="4"/>
        <v>-236</v>
      </c>
      <c r="M67" s="60" t="str">
        <f t="shared" si="3"/>
        <v>紅棒</v>
      </c>
    </row>
    <row r="68">
      <c r="A68" s="56">
        <f t="shared" si="1"/>
        <v>2</v>
      </c>
      <c r="B68" s="57">
        <v>45874.0</v>
      </c>
      <c r="C68" s="7">
        <v>23446.0</v>
      </c>
      <c r="D68" s="7">
        <v>23584.0</v>
      </c>
      <c r="E68" s="7">
        <v>23421.0</v>
      </c>
      <c r="F68" s="7">
        <v>23575.0</v>
      </c>
      <c r="G68" s="7">
        <v>52372.0</v>
      </c>
      <c r="H68" s="58">
        <f t="shared" si="2"/>
        <v>163</v>
      </c>
      <c r="I68" s="58">
        <f t="shared" si="5"/>
        <v>262.8</v>
      </c>
      <c r="J68" s="58">
        <f t="shared" si="6"/>
        <v>242.2</v>
      </c>
      <c r="K68" s="58">
        <f t="shared" si="7"/>
        <v>256.25</v>
      </c>
      <c r="L68" s="61">
        <f t="shared" si="4"/>
        <v>186</v>
      </c>
      <c r="M68" s="60" t="str">
        <f t="shared" si="3"/>
        <v>紅棒</v>
      </c>
    </row>
    <row r="69">
      <c r="A69" s="56">
        <f t="shared" si="1"/>
        <v>3</v>
      </c>
      <c r="B69" s="57">
        <v>45875.0</v>
      </c>
      <c r="C69" s="7">
        <v>23423.0</v>
      </c>
      <c r="D69" s="7">
        <v>23483.0</v>
      </c>
      <c r="E69" s="7">
        <v>23381.0</v>
      </c>
      <c r="F69" s="7">
        <v>23425.0</v>
      </c>
      <c r="G69" s="7">
        <v>45239.0</v>
      </c>
      <c r="H69" s="58">
        <f t="shared" si="2"/>
        <v>102</v>
      </c>
      <c r="I69" s="58">
        <f t="shared" si="5"/>
        <v>238.6</v>
      </c>
      <c r="J69" s="58">
        <f t="shared" si="6"/>
        <v>226.6</v>
      </c>
      <c r="K69" s="58">
        <f t="shared" si="7"/>
        <v>245</v>
      </c>
      <c r="L69" s="6">
        <f t="shared" si="4"/>
        <v>-152</v>
      </c>
      <c r="M69" s="60" t="str">
        <f t="shared" si="3"/>
        <v>紅棒</v>
      </c>
    </row>
    <row r="70">
      <c r="A70" s="56">
        <f t="shared" si="1"/>
        <v>4</v>
      </c>
      <c r="B70" s="57">
        <v>45876.0</v>
      </c>
      <c r="C70" s="7">
        <v>23660.0</v>
      </c>
      <c r="D70" s="7">
        <v>24054.0</v>
      </c>
      <c r="E70" s="7">
        <v>23653.0</v>
      </c>
      <c r="F70" s="7">
        <v>23997.0</v>
      </c>
      <c r="G70" s="7">
        <v>71465.0</v>
      </c>
      <c r="H70" s="58">
        <f t="shared" si="2"/>
        <v>401</v>
      </c>
      <c r="I70" s="58">
        <f t="shared" si="5"/>
        <v>265.6</v>
      </c>
      <c r="J70" s="58">
        <f t="shared" si="6"/>
        <v>248.8</v>
      </c>
      <c r="K70" s="58">
        <f t="shared" si="7"/>
        <v>253.2</v>
      </c>
      <c r="L70" s="6">
        <f t="shared" si="4"/>
        <v>235</v>
      </c>
      <c r="M70" s="60" t="str">
        <f t="shared" si="3"/>
        <v>紅棒</v>
      </c>
    </row>
    <row r="71">
      <c r="A71" s="56">
        <f t="shared" si="1"/>
        <v>5</v>
      </c>
      <c r="B71" s="57">
        <v>45877.0</v>
      </c>
      <c r="C71" s="7">
        <v>24091.0</v>
      </c>
      <c r="D71" s="7">
        <v>24095.0</v>
      </c>
      <c r="E71" s="7">
        <v>23947.0</v>
      </c>
      <c r="F71" s="7">
        <v>23949.0</v>
      </c>
      <c r="G71" s="7">
        <v>42140.0</v>
      </c>
      <c r="H71" s="58">
        <f t="shared" si="2"/>
        <v>148</v>
      </c>
      <c r="I71" s="58">
        <f t="shared" si="5"/>
        <v>216.4</v>
      </c>
      <c r="J71" s="58">
        <f t="shared" si="6"/>
        <v>251.5</v>
      </c>
      <c r="K71" s="58">
        <f t="shared" si="7"/>
        <v>246.3</v>
      </c>
      <c r="L71" s="62" t="str">
        <f t="shared" si="4"/>
        <v/>
      </c>
      <c r="M71" s="60" t="str">
        <f t="shared" si="3"/>
        <v>黑棒</v>
      </c>
    </row>
    <row r="72">
      <c r="A72" s="56">
        <f t="shared" si="1"/>
        <v>1</v>
      </c>
      <c r="B72" s="57">
        <v>45880.0</v>
      </c>
      <c r="C72" s="7">
        <v>23973.0</v>
      </c>
      <c r="D72" s="7">
        <v>24223.0</v>
      </c>
      <c r="E72" s="7">
        <v>23833.0</v>
      </c>
      <c r="F72" s="7">
        <v>24162.0</v>
      </c>
      <c r="G72" s="7">
        <v>62090.0</v>
      </c>
      <c r="H72" s="58">
        <f t="shared" si="2"/>
        <v>390</v>
      </c>
      <c r="I72" s="58">
        <f t="shared" si="5"/>
        <v>240.8</v>
      </c>
      <c r="J72" s="58">
        <f t="shared" si="6"/>
        <v>268.7</v>
      </c>
      <c r="K72" s="58">
        <f t="shared" si="7"/>
        <v>257.05</v>
      </c>
      <c r="L72" s="61" t="str">
        <f t="shared" si="4"/>
        <v/>
      </c>
      <c r="M72" s="60" t="str">
        <f t="shared" si="3"/>
        <v>紅棒</v>
      </c>
    </row>
    <row r="73">
      <c r="A73" s="56">
        <f t="shared" si="1"/>
        <v>2</v>
      </c>
      <c r="B73" s="57">
        <v>45881.0</v>
      </c>
      <c r="C73" s="7">
        <v>24155.0</v>
      </c>
      <c r="D73" s="7">
        <v>24241.0</v>
      </c>
      <c r="E73" s="7">
        <v>24088.0</v>
      </c>
      <c r="F73" s="7">
        <v>24135.0</v>
      </c>
      <c r="G73" s="7">
        <v>53748.0</v>
      </c>
      <c r="H73" s="58">
        <f t="shared" si="2"/>
        <v>153</v>
      </c>
      <c r="I73" s="58">
        <f t="shared" si="5"/>
        <v>238.8</v>
      </c>
      <c r="J73" s="58">
        <f t="shared" si="6"/>
        <v>250.8</v>
      </c>
      <c r="K73" s="58">
        <f t="shared" si="7"/>
        <v>246.2</v>
      </c>
      <c r="L73" s="61" t="str">
        <f t="shared" si="4"/>
        <v/>
      </c>
      <c r="M73" s="60" t="str">
        <f t="shared" si="3"/>
        <v>黑棒</v>
      </c>
    </row>
    <row r="74">
      <c r="A74" s="56">
        <f t="shared" si="1"/>
        <v>3</v>
      </c>
      <c r="B74" s="57">
        <v>45882.0</v>
      </c>
      <c r="C74" s="7">
        <v>24298.0</v>
      </c>
      <c r="D74" s="7">
        <v>24412.0</v>
      </c>
      <c r="E74" s="7">
        <v>24154.0</v>
      </c>
      <c r="F74" s="7">
        <v>24347.0</v>
      </c>
      <c r="G74" s="7">
        <v>71303.0</v>
      </c>
      <c r="H74" s="58">
        <f t="shared" si="2"/>
        <v>258</v>
      </c>
      <c r="I74" s="58">
        <f t="shared" si="5"/>
        <v>270</v>
      </c>
      <c r="J74" s="58">
        <f t="shared" si="6"/>
        <v>254.3</v>
      </c>
      <c r="K74" s="58">
        <f t="shared" si="7"/>
        <v>244.25</v>
      </c>
      <c r="L74" s="6">
        <f t="shared" si="4"/>
        <v>163</v>
      </c>
      <c r="M74" s="60" t="str">
        <f t="shared" si="3"/>
        <v>紅棒</v>
      </c>
    </row>
    <row r="75">
      <c r="A75" s="56">
        <f t="shared" si="1"/>
        <v>4</v>
      </c>
      <c r="B75" s="57">
        <v>45883.0</v>
      </c>
      <c r="C75" s="7">
        <v>24337.0</v>
      </c>
      <c r="D75" s="7">
        <v>24362.0</v>
      </c>
      <c r="E75" s="7">
        <v>24207.0</v>
      </c>
      <c r="F75" s="7">
        <v>24250.0</v>
      </c>
      <c r="G75" s="7">
        <v>46241.0</v>
      </c>
      <c r="H75" s="58">
        <f t="shared" si="2"/>
        <v>155</v>
      </c>
      <c r="I75" s="58">
        <f t="shared" si="5"/>
        <v>220.8</v>
      </c>
      <c r="J75" s="58">
        <f t="shared" si="6"/>
        <v>243.2</v>
      </c>
      <c r="K75" s="58">
        <f t="shared" si="7"/>
        <v>237.8</v>
      </c>
      <c r="L75" s="6" t="str">
        <f t="shared" si="4"/>
        <v/>
      </c>
      <c r="M75" s="60" t="str">
        <f t="shared" si="3"/>
        <v>黑棒</v>
      </c>
    </row>
    <row r="76">
      <c r="A76" s="56">
        <f t="shared" si="1"/>
        <v>5</v>
      </c>
      <c r="B76" s="57">
        <v>45884.0</v>
      </c>
      <c r="C76" s="7">
        <v>24282.0</v>
      </c>
      <c r="D76" s="7">
        <v>24385.0</v>
      </c>
      <c r="E76" s="7">
        <v>24188.0</v>
      </c>
      <c r="F76" s="7">
        <v>24312.0</v>
      </c>
      <c r="G76" s="7">
        <v>64076.0</v>
      </c>
      <c r="H76" s="58">
        <f t="shared" si="2"/>
        <v>197</v>
      </c>
      <c r="I76" s="58">
        <f t="shared" si="5"/>
        <v>230.6</v>
      </c>
      <c r="J76" s="58">
        <f t="shared" si="6"/>
        <v>223.5</v>
      </c>
      <c r="K76" s="58">
        <f t="shared" si="7"/>
        <v>239.2</v>
      </c>
      <c r="L76" s="61" t="str">
        <f t="shared" si="4"/>
        <v/>
      </c>
      <c r="M76" s="60" t="str">
        <f t="shared" si="3"/>
        <v>紅棒</v>
      </c>
    </row>
    <row r="77">
      <c r="A77" s="56">
        <f t="shared" si="1"/>
        <v>1</v>
      </c>
      <c r="B77" s="57">
        <v>45887.0</v>
      </c>
      <c r="C77" s="7">
        <v>24199.0</v>
      </c>
      <c r="D77" s="7">
        <v>24462.0</v>
      </c>
      <c r="E77" s="7">
        <v>24176.0</v>
      </c>
      <c r="F77" s="7">
        <v>24426.0</v>
      </c>
      <c r="G77" s="7">
        <v>86686.0</v>
      </c>
      <c r="H77" s="58">
        <f t="shared" si="2"/>
        <v>286</v>
      </c>
      <c r="I77" s="58">
        <f t="shared" si="5"/>
        <v>209.8</v>
      </c>
      <c r="J77" s="58">
        <f t="shared" si="6"/>
        <v>225.3</v>
      </c>
      <c r="K77" s="58">
        <f t="shared" si="7"/>
        <v>247.05</v>
      </c>
      <c r="L77" s="61" t="str">
        <f t="shared" si="4"/>
        <v/>
      </c>
      <c r="M77" s="60" t="str">
        <f t="shared" si="3"/>
        <v>紅棒</v>
      </c>
    </row>
    <row r="78">
      <c r="A78" s="56">
        <f t="shared" si="1"/>
        <v>2</v>
      </c>
      <c r="B78" s="57">
        <v>45888.0</v>
      </c>
      <c r="C78" s="7">
        <v>24380.0</v>
      </c>
      <c r="D78" s="7">
        <v>24447.0</v>
      </c>
      <c r="E78" s="7">
        <v>24313.0</v>
      </c>
      <c r="F78" s="7">
        <v>24342.0</v>
      </c>
      <c r="G78" s="7">
        <v>70121.0</v>
      </c>
      <c r="H78" s="58">
        <f t="shared" si="2"/>
        <v>134</v>
      </c>
      <c r="I78" s="58">
        <f t="shared" si="5"/>
        <v>206</v>
      </c>
      <c r="J78" s="58">
        <f t="shared" si="6"/>
        <v>222.4</v>
      </c>
      <c r="K78" s="58">
        <f t="shared" si="7"/>
        <v>232.3</v>
      </c>
      <c r="L78" s="61" t="str">
        <f t="shared" si="4"/>
        <v/>
      </c>
      <c r="M78" s="60" t="str">
        <f t="shared" si="3"/>
        <v>黑棒</v>
      </c>
    </row>
    <row r="79">
      <c r="A79" s="56">
        <f t="shared" si="1"/>
        <v>3</v>
      </c>
      <c r="B79" s="57">
        <v>45889.0</v>
      </c>
      <c r="C79" s="7">
        <v>24100.0</v>
      </c>
      <c r="D79" s="7">
        <v>24140.0</v>
      </c>
      <c r="E79" s="7">
        <v>23613.0</v>
      </c>
      <c r="F79" s="7">
        <v>23667.0</v>
      </c>
      <c r="G79" s="7">
        <v>64312.0</v>
      </c>
      <c r="H79" s="58">
        <f t="shared" si="2"/>
        <v>527</v>
      </c>
      <c r="I79" s="58">
        <f t="shared" si="5"/>
        <v>259.8</v>
      </c>
      <c r="J79" s="58">
        <f t="shared" si="6"/>
        <v>264.9</v>
      </c>
      <c r="K79" s="58">
        <f t="shared" si="7"/>
        <v>245.75</v>
      </c>
      <c r="L79" s="6">
        <f t="shared" si="4"/>
        <v>-242</v>
      </c>
      <c r="M79" s="60" t="str">
        <f t="shared" si="3"/>
        <v>黑棒</v>
      </c>
    </row>
    <row r="80">
      <c r="A80" s="56">
        <f t="shared" si="1"/>
        <v>4</v>
      </c>
      <c r="B80" s="57">
        <v>45890.0</v>
      </c>
      <c r="C80" s="7">
        <v>23729.0</v>
      </c>
      <c r="D80" s="7">
        <v>23943.0</v>
      </c>
      <c r="E80" s="7">
        <v>23691.0</v>
      </c>
      <c r="F80" s="7">
        <v>23852.0</v>
      </c>
      <c r="G80" s="7">
        <v>63709.0</v>
      </c>
      <c r="H80" s="58">
        <f t="shared" si="2"/>
        <v>252</v>
      </c>
      <c r="I80" s="58">
        <f t="shared" si="5"/>
        <v>279.2</v>
      </c>
      <c r="J80" s="58">
        <f t="shared" si="6"/>
        <v>250</v>
      </c>
      <c r="K80" s="58">
        <f t="shared" si="7"/>
        <v>249.4</v>
      </c>
      <c r="L80" s="6" t="str">
        <f t="shared" si="4"/>
        <v/>
      </c>
      <c r="M80" s="60" t="str">
        <f t="shared" si="3"/>
        <v>紅棒</v>
      </c>
    </row>
    <row r="81">
      <c r="A81" s="56">
        <f t="shared" si="1"/>
        <v>5</v>
      </c>
      <c r="B81" s="57">
        <v>45891.0</v>
      </c>
      <c r="C81" s="7">
        <v>23877.0</v>
      </c>
      <c r="D81" s="7">
        <v>23982.0</v>
      </c>
      <c r="E81" s="7">
        <v>23732.0</v>
      </c>
      <c r="F81" s="7">
        <v>23750.0</v>
      </c>
      <c r="G81" s="7">
        <v>56030.0</v>
      </c>
      <c r="H81" s="58">
        <f t="shared" si="2"/>
        <v>250</v>
      </c>
      <c r="I81" s="58">
        <f t="shared" si="5"/>
        <v>289.8</v>
      </c>
      <c r="J81" s="58">
        <f t="shared" si="6"/>
        <v>260.2</v>
      </c>
      <c r="K81" s="58">
        <f t="shared" si="7"/>
        <v>255.85</v>
      </c>
      <c r="L81" s="6" t="str">
        <f t="shared" si="4"/>
        <v/>
      </c>
      <c r="M81" s="60" t="str">
        <f t="shared" si="3"/>
        <v>黑棒</v>
      </c>
    </row>
    <row r="82">
      <c r="A82" s="56">
        <f t="shared" si="1"/>
        <v>1</v>
      </c>
      <c r="B82" s="57">
        <v>45894.0</v>
      </c>
      <c r="C82" s="7">
        <v>24120.0</v>
      </c>
      <c r="D82" s="7">
        <v>24314.0</v>
      </c>
      <c r="E82" s="7">
        <v>24070.0</v>
      </c>
      <c r="F82" s="7">
        <v>24251.0</v>
      </c>
      <c r="G82" s="7">
        <v>63108.0</v>
      </c>
      <c r="H82" s="58">
        <f t="shared" si="2"/>
        <v>244</v>
      </c>
      <c r="I82" s="58">
        <f t="shared" si="5"/>
        <v>281.4</v>
      </c>
      <c r="J82" s="58">
        <f t="shared" si="6"/>
        <v>245.6</v>
      </c>
      <c r="K82" s="58">
        <f t="shared" si="7"/>
        <v>257.15</v>
      </c>
      <c r="L82" s="6">
        <f t="shared" si="4"/>
        <v>370</v>
      </c>
      <c r="M82" s="60" t="str">
        <f t="shared" si="3"/>
        <v>紅棒</v>
      </c>
    </row>
    <row r="83">
      <c r="A83" s="56">
        <f t="shared" si="1"/>
        <v>2</v>
      </c>
      <c r="B83" s="57">
        <v>45895.0</v>
      </c>
      <c r="C83" s="7">
        <v>24143.0</v>
      </c>
      <c r="D83" s="7">
        <v>24281.0</v>
      </c>
      <c r="E83" s="7">
        <v>24090.0</v>
      </c>
      <c r="F83" s="7">
        <v>24253.0</v>
      </c>
      <c r="G83" s="7">
        <v>53798.0</v>
      </c>
      <c r="H83" s="58">
        <f t="shared" si="2"/>
        <v>191</v>
      </c>
      <c r="I83" s="58">
        <f t="shared" si="5"/>
        <v>292.8</v>
      </c>
      <c r="J83" s="58">
        <f t="shared" si="6"/>
        <v>249.4</v>
      </c>
      <c r="K83" s="58">
        <f t="shared" si="7"/>
        <v>250.1</v>
      </c>
      <c r="L83" s="6" t="str">
        <f t="shared" si="4"/>
        <v/>
      </c>
      <c r="M83" s="60" t="str">
        <f t="shared" si="3"/>
        <v>紅棒</v>
      </c>
    </row>
    <row r="84">
      <c r="A84" s="56">
        <f t="shared" si="1"/>
        <v>3</v>
      </c>
      <c r="B84" s="57">
        <v>45896.0</v>
      </c>
      <c r="C84" s="7">
        <v>24350.0</v>
      </c>
      <c r="D84" s="7">
        <v>24496.0</v>
      </c>
      <c r="E84" s="7">
        <v>24331.0</v>
      </c>
      <c r="F84" s="7">
        <v>24463.0</v>
      </c>
      <c r="G84" s="7">
        <v>51154.0</v>
      </c>
      <c r="H84" s="58">
        <f t="shared" si="2"/>
        <v>165</v>
      </c>
      <c r="I84" s="58">
        <f t="shared" si="5"/>
        <v>220.4</v>
      </c>
      <c r="J84" s="58">
        <f t="shared" si="6"/>
        <v>240.1</v>
      </c>
      <c r="K84" s="58">
        <f t="shared" si="7"/>
        <v>247.2</v>
      </c>
      <c r="L84" s="61" t="str">
        <f t="shared" si="4"/>
        <v/>
      </c>
      <c r="M84" s="60" t="str">
        <f t="shared" si="3"/>
        <v>紅棒</v>
      </c>
    </row>
    <row r="85">
      <c r="A85" s="56">
        <f t="shared" si="1"/>
        <v>4</v>
      </c>
      <c r="B85" s="57">
        <v>45897.0</v>
      </c>
      <c r="C85" s="7">
        <v>24358.0</v>
      </c>
      <c r="D85" s="7">
        <v>24420.0</v>
      </c>
      <c r="E85" s="7">
        <v>24203.0</v>
      </c>
      <c r="F85" s="7">
        <v>24228.0</v>
      </c>
      <c r="G85" s="7">
        <v>62184.0</v>
      </c>
      <c r="H85" s="58">
        <f t="shared" si="2"/>
        <v>217</v>
      </c>
      <c r="I85" s="58">
        <f t="shared" si="5"/>
        <v>213.4</v>
      </c>
      <c r="J85" s="58">
        <f t="shared" si="6"/>
        <v>246.3</v>
      </c>
      <c r="K85" s="58">
        <f t="shared" si="7"/>
        <v>244.75</v>
      </c>
      <c r="L85" s="6" t="str">
        <f t="shared" si="4"/>
        <v/>
      </c>
      <c r="M85" s="60" t="str">
        <f t="shared" si="3"/>
        <v>黑棒</v>
      </c>
    </row>
    <row r="86">
      <c r="A86" s="56">
        <f t="shared" si="1"/>
        <v>5</v>
      </c>
      <c r="B86" s="57">
        <v>45898.0</v>
      </c>
      <c r="C86" s="7">
        <v>24401.0</v>
      </c>
      <c r="D86" s="7">
        <v>24453.0</v>
      </c>
      <c r="E86" s="7">
        <v>24246.0</v>
      </c>
      <c r="F86" s="7">
        <v>24267.0</v>
      </c>
      <c r="G86" s="7">
        <v>56576.0</v>
      </c>
      <c r="H86" s="58">
        <f t="shared" si="2"/>
        <v>207</v>
      </c>
      <c r="I86" s="58">
        <f t="shared" si="5"/>
        <v>204.8</v>
      </c>
      <c r="J86" s="58">
        <f t="shared" si="6"/>
        <v>247.3</v>
      </c>
      <c r="K86" s="58">
        <f t="shared" si="7"/>
        <v>235.4</v>
      </c>
      <c r="L86" s="62">
        <f t="shared" si="4"/>
        <v>173</v>
      </c>
      <c r="M86" s="60" t="str">
        <f t="shared" si="3"/>
        <v>黑棒</v>
      </c>
    </row>
    <row r="87">
      <c r="A87" s="56">
        <f t="shared" si="1"/>
        <v>1</v>
      </c>
      <c r="B87" s="57">
        <v>45901.0</v>
      </c>
      <c r="C87" s="7">
        <v>24120.0</v>
      </c>
      <c r="D87" s="7">
        <v>24245.0</v>
      </c>
      <c r="E87" s="7">
        <v>23847.0</v>
      </c>
      <c r="F87" s="7">
        <v>24008.0</v>
      </c>
      <c r="G87" s="7">
        <v>82254.0</v>
      </c>
      <c r="H87" s="58">
        <f t="shared" si="2"/>
        <v>398</v>
      </c>
      <c r="I87" s="58">
        <f t="shared" si="5"/>
        <v>235.6</v>
      </c>
      <c r="J87" s="58">
        <f t="shared" si="6"/>
        <v>258.5</v>
      </c>
      <c r="K87" s="58">
        <f t="shared" si="7"/>
        <v>241.9</v>
      </c>
      <c r="L87" s="62">
        <f t="shared" si="4"/>
        <v>-147</v>
      </c>
      <c r="M87" s="60" t="str">
        <f t="shared" si="3"/>
        <v>黑棒</v>
      </c>
    </row>
    <row r="88">
      <c r="A88" s="56">
        <f t="shared" si="1"/>
        <v>2</v>
      </c>
      <c r="B88" s="57">
        <v>45902.0</v>
      </c>
      <c r="C88" s="7">
        <v>24083.0</v>
      </c>
      <c r="D88" s="7">
        <v>24249.0</v>
      </c>
      <c r="E88" s="7">
        <v>23879.0</v>
      </c>
      <c r="F88" s="7">
        <v>23965.0</v>
      </c>
      <c r="G88" s="7">
        <v>78953.0</v>
      </c>
      <c r="H88" s="58">
        <f t="shared" si="2"/>
        <v>370</v>
      </c>
      <c r="I88" s="58">
        <f t="shared" si="5"/>
        <v>271.4</v>
      </c>
      <c r="J88" s="58">
        <f t="shared" si="6"/>
        <v>282.1</v>
      </c>
      <c r="K88" s="58">
        <f t="shared" si="7"/>
        <v>252.25</v>
      </c>
      <c r="L88" s="62" t="str">
        <f t="shared" si="4"/>
        <v/>
      </c>
      <c r="M88" s="60" t="str">
        <f t="shared" si="3"/>
        <v>黑棒</v>
      </c>
    </row>
    <row r="89">
      <c r="A89" s="56">
        <f t="shared" si="1"/>
        <v>3</v>
      </c>
      <c r="B89" s="57">
        <v>45903.0</v>
      </c>
      <c r="C89" s="7">
        <v>23966.0</v>
      </c>
      <c r="D89" s="7">
        <v>24083.0</v>
      </c>
      <c r="E89" s="7">
        <v>23888.0</v>
      </c>
      <c r="F89" s="7">
        <v>23997.0</v>
      </c>
      <c r="G89" s="7">
        <v>57816.0</v>
      </c>
      <c r="H89" s="58">
        <f t="shared" si="2"/>
        <v>195</v>
      </c>
      <c r="I89" s="58">
        <f t="shared" si="5"/>
        <v>277.4</v>
      </c>
      <c r="J89" s="58">
        <f t="shared" si="6"/>
        <v>248.9</v>
      </c>
      <c r="K89" s="58">
        <f t="shared" si="7"/>
        <v>256.9</v>
      </c>
      <c r="L89" s="62" t="str">
        <f t="shared" si="4"/>
        <v/>
      </c>
      <c r="M89" s="60" t="str">
        <f t="shared" si="3"/>
        <v>紅棒</v>
      </c>
    </row>
    <row r="90">
      <c r="A90" s="56">
        <f t="shared" si="1"/>
        <v>4</v>
      </c>
      <c r="B90" s="57">
        <v>45904.0</v>
      </c>
      <c r="C90" s="7">
        <v>24195.0</v>
      </c>
      <c r="D90" s="7">
        <v>24365.0</v>
      </c>
      <c r="E90" s="7">
        <v>24113.0</v>
      </c>
      <c r="F90" s="7">
        <v>24132.0</v>
      </c>
      <c r="G90" s="7">
        <v>78433.0</v>
      </c>
      <c r="H90" s="58">
        <f t="shared" si="2"/>
        <v>252</v>
      </c>
      <c r="I90" s="58">
        <f t="shared" si="5"/>
        <v>284.4</v>
      </c>
      <c r="J90" s="58">
        <f t="shared" si="6"/>
        <v>248.9</v>
      </c>
      <c r="K90" s="58">
        <f t="shared" si="7"/>
        <v>249.45</v>
      </c>
      <c r="L90" s="61">
        <f t="shared" si="4"/>
        <v>198</v>
      </c>
      <c r="M90" s="60" t="str">
        <f t="shared" si="3"/>
        <v>黑棒</v>
      </c>
    </row>
    <row r="91">
      <c r="A91" s="56">
        <f t="shared" si="1"/>
        <v>5</v>
      </c>
      <c r="B91" s="57">
        <v>45905.0</v>
      </c>
      <c r="C91" s="7">
        <v>24363.0</v>
      </c>
      <c r="D91" s="7">
        <v>24429.0</v>
      </c>
      <c r="E91" s="7">
        <v>24286.0</v>
      </c>
      <c r="F91" s="7">
        <v>24419.0</v>
      </c>
      <c r="G91" s="7">
        <v>55821.0</v>
      </c>
      <c r="H91" s="58">
        <f t="shared" si="2"/>
        <v>143</v>
      </c>
      <c r="I91" s="58">
        <f t="shared" si="5"/>
        <v>271.6</v>
      </c>
      <c r="J91" s="58">
        <f t="shared" si="6"/>
        <v>238.2</v>
      </c>
      <c r="K91" s="58">
        <f t="shared" si="7"/>
        <v>249.2</v>
      </c>
      <c r="L91" s="62">
        <f t="shared" si="4"/>
        <v>231</v>
      </c>
      <c r="M91" s="60" t="str">
        <f t="shared" si="3"/>
        <v>紅棒</v>
      </c>
    </row>
    <row r="92">
      <c r="A92" s="56">
        <f t="shared" si="1"/>
        <v>1</v>
      </c>
      <c r="B92" s="57">
        <v>45908.0</v>
      </c>
      <c r="C92" s="7">
        <v>24588.0</v>
      </c>
      <c r="D92" s="7">
        <v>24674.0</v>
      </c>
      <c r="E92" s="7">
        <v>24518.0</v>
      </c>
      <c r="F92" s="7">
        <v>24551.0</v>
      </c>
      <c r="G92" s="7">
        <v>58765.0</v>
      </c>
      <c r="H92" s="58">
        <f t="shared" si="2"/>
        <v>156</v>
      </c>
      <c r="I92" s="58">
        <f t="shared" si="5"/>
        <v>223.2</v>
      </c>
      <c r="J92" s="58">
        <f t="shared" si="6"/>
        <v>229.4</v>
      </c>
      <c r="K92" s="58">
        <f t="shared" si="7"/>
        <v>237.5</v>
      </c>
      <c r="L92" s="6">
        <f t="shared" si="4"/>
        <v>169</v>
      </c>
      <c r="M92" s="60" t="str">
        <f t="shared" si="3"/>
        <v>黑棒</v>
      </c>
    </row>
    <row r="93">
      <c r="A93" s="56">
        <f t="shared" si="1"/>
        <v>2</v>
      </c>
      <c r="B93" s="57">
        <v>45909.0</v>
      </c>
      <c r="C93" s="7">
        <v>24725.0</v>
      </c>
      <c r="D93" s="7">
        <v>24838.0</v>
      </c>
      <c r="E93" s="7">
        <v>24660.0</v>
      </c>
      <c r="F93" s="7">
        <v>24802.0</v>
      </c>
      <c r="G93" s="7">
        <v>56977.0</v>
      </c>
      <c r="H93" s="58">
        <f t="shared" si="2"/>
        <v>178</v>
      </c>
      <c r="I93" s="58">
        <f t="shared" si="5"/>
        <v>184.8</v>
      </c>
      <c r="J93" s="58">
        <f t="shared" si="6"/>
        <v>228.1</v>
      </c>
      <c r="K93" s="58">
        <f t="shared" si="7"/>
        <v>238.75</v>
      </c>
      <c r="L93" s="61">
        <f t="shared" si="4"/>
        <v>174</v>
      </c>
      <c r="M93" s="60" t="str">
        <f t="shared" si="3"/>
        <v>紅棒</v>
      </c>
    </row>
    <row r="94">
      <c r="A94" s="56">
        <f t="shared" si="1"/>
        <v>3</v>
      </c>
      <c r="B94" s="57">
        <v>45910.0</v>
      </c>
      <c r="C94" s="7">
        <v>24970.0</v>
      </c>
      <c r="D94" s="7">
        <v>25244.0</v>
      </c>
      <c r="E94" s="7">
        <v>24961.0</v>
      </c>
      <c r="F94" s="7">
        <v>25178.0</v>
      </c>
      <c r="G94" s="7">
        <v>70661.0</v>
      </c>
      <c r="H94" s="58">
        <f t="shared" si="2"/>
        <v>283</v>
      </c>
      <c r="I94" s="58">
        <f t="shared" si="5"/>
        <v>202.4</v>
      </c>
      <c r="J94" s="58">
        <f t="shared" si="6"/>
        <v>239.9</v>
      </c>
      <c r="K94" s="58">
        <f t="shared" si="7"/>
        <v>240</v>
      </c>
      <c r="L94" s="6">
        <f t="shared" si="4"/>
        <v>168</v>
      </c>
      <c r="M94" s="60" t="str">
        <f t="shared" si="3"/>
        <v>紅棒</v>
      </c>
    </row>
    <row r="95">
      <c r="A95" s="56">
        <f t="shared" si="1"/>
        <v>4</v>
      </c>
      <c r="B95" s="57">
        <v>45911.0</v>
      </c>
      <c r="C95" s="7">
        <v>25386.0</v>
      </c>
      <c r="D95" s="7">
        <v>25464.0</v>
      </c>
      <c r="E95" s="7">
        <v>25176.0</v>
      </c>
      <c r="F95" s="7">
        <v>25240.0</v>
      </c>
      <c r="G95" s="7">
        <v>73339.0</v>
      </c>
      <c r="H95" s="58">
        <f t="shared" si="2"/>
        <v>288</v>
      </c>
      <c r="I95" s="58">
        <f t="shared" si="5"/>
        <v>209.6</v>
      </c>
      <c r="J95" s="58">
        <f t="shared" si="6"/>
        <v>247</v>
      </c>
      <c r="K95" s="58">
        <f t="shared" si="7"/>
        <v>246.65</v>
      </c>
      <c r="L95" s="6">
        <f t="shared" si="4"/>
        <v>208</v>
      </c>
      <c r="M95" s="60" t="str">
        <f t="shared" si="3"/>
        <v>黑棒</v>
      </c>
    </row>
    <row r="96">
      <c r="A96" s="56">
        <f t="shared" si="1"/>
        <v>5</v>
      </c>
      <c r="B96" s="57">
        <v>45912.0</v>
      </c>
      <c r="C96" s="7">
        <v>25418.0</v>
      </c>
      <c r="D96" s="7">
        <v>25466.0</v>
      </c>
      <c r="E96" s="7">
        <v>25350.0</v>
      </c>
      <c r="F96" s="7">
        <v>25459.0</v>
      </c>
      <c r="G96" s="7">
        <v>55444.0</v>
      </c>
      <c r="H96" s="58">
        <f t="shared" si="2"/>
        <v>116</v>
      </c>
      <c r="I96" s="58">
        <f t="shared" si="5"/>
        <v>204.2</v>
      </c>
      <c r="J96" s="58">
        <f t="shared" si="6"/>
        <v>237.9</v>
      </c>
      <c r="K96" s="58">
        <f t="shared" si="7"/>
        <v>242.6</v>
      </c>
      <c r="L96" s="6">
        <f t="shared" si="4"/>
        <v>178</v>
      </c>
      <c r="M96" s="60" t="str">
        <f t="shared" si="3"/>
        <v>紅棒</v>
      </c>
    </row>
    <row r="97">
      <c r="A97" s="56">
        <f t="shared" si="1"/>
        <v>1</v>
      </c>
      <c r="B97" s="57">
        <v>45915.0</v>
      </c>
      <c r="C97" s="7">
        <v>25404.0</v>
      </c>
      <c r="D97" s="7">
        <v>25450.0</v>
      </c>
      <c r="E97" s="7">
        <v>25269.0</v>
      </c>
      <c r="F97" s="7">
        <v>25353.0</v>
      </c>
      <c r="G97" s="7">
        <v>89375.0</v>
      </c>
      <c r="H97" s="58">
        <f t="shared" si="2"/>
        <v>181</v>
      </c>
      <c r="I97" s="58">
        <f t="shared" si="5"/>
        <v>209.2</v>
      </c>
      <c r="J97" s="58">
        <f t="shared" si="6"/>
        <v>216.2</v>
      </c>
      <c r="K97" s="58">
        <f t="shared" si="7"/>
        <v>237.35</v>
      </c>
      <c r="L97" s="61" t="str">
        <f t="shared" si="4"/>
        <v/>
      </c>
      <c r="M97" s="60" t="str">
        <f t="shared" si="3"/>
        <v>黑棒</v>
      </c>
    </row>
    <row r="98">
      <c r="A98" s="56">
        <f t="shared" si="1"/>
        <v>2</v>
      </c>
      <c r="B98" s="57">
        <v>45916.0</v>
      </c>
      <c r="C98" s="7">
        <v>25420.0</v>
      </c>
      <c r="D98" s="7">
        <v>25663.0</v>
      </c>
      <c r="E98" s="7">
        <v>25410.0</v>
      </c>
      <c r="F98" s="7">
        <v>25629.0</v>
      </c>
      <c r="G98" s="7">
        <v>76338.0</v>
      </c>
      <c r="H98" s="58">
        <f t="shared" si="2"/>
        <v>253</v>
      </c>
      <c r="I98" s="58">
        <f t="shared" si="5"/>
        <v>224.2</v>
      </c>
      <c r="J98" s="58">
        <f t="shared" si="6"/>
        <v>204.5</v>
      </c>
      <c r="K98" s="58">
        <f t="shared" si="7"/>
        <v>243.3</v>
      </c>
      <c r="L98" s="6" t="str">
        <f t="shared" si="4"/>
        <v/>
      </c>
      <c r="M98" s="60" t="str">
        <f t="shared" si="3"/>
        <v>紅棒</v>
      </c>
    </row>
    <row r="99">
      <c r="A99" s="56">
        <f t="shared" si="1"/>
        <v>3</v>
      </c>
      <c r="B99" s="57">
        <v>45917.0</v>
      </c>
      <c r="C99" s="7">
        <v>25575.0</v>
      </c>
      <c r="D99" s="7">
        <v>25596.0</v>
      </c>
      <c r="E99" s="7">
        <v>25441.0</v>
      </c>
      <c r="F99" s="7">
        <v>25470.0</v>
      </c>
      <c r="G99" s="7">
        <v>33472.0</v>
      </c>
      <c r="H99" s="58">
        <f t="shared" si="2"/>
        <v>155</v>
      </c>
      <c r="I99" s="58">
        <f t="shared" si="5"/>
        <v>198.6</v>
      </c>
      <c r="J99" s="58">
        <f t="shared" si="6"/>
        <v>200.5</v>
      </c>
      <c r="K99" s="58">
        <f t="shared" si="7"/>
        <v>224.7</v>
      </c>
      <c r="L99" s="62" t="str">
        <f t="shared" si="4"/>
        <v/>
      </c>
      <c r="M99" s="60" t="str">
        <f t="shared" si="3"/>
        <v>黑棒</v>
      </c>
    </row>
    <row r="100">
      <c r="A100" s="56">
        <f t="shared" si="1"/>
        <v>4</v>
      </c>
      <c r="B100" s="57">
        <v>45918.0</v>
      </c>
      <c r="C100" s="7">
        <v>25623.0</v>
      </c>
      <c r="D100" s="7">
        <v>25747.0</v>
      </c>
      <c r="E100" s="7">
        <v>25490.0</v>
      </c>
      <c r="F100" s="7">
        <v>25709.0</v>
      </c>
      <c r="G100" s="7">
        <v>60615.0</v>
      </c>
      <c r="H100" s="58">
        <f t="shared" si="2"/>
        <v>257</v>
      </c>
      <c r="I100" s="58">
        <f t="shared" si="5"/>
        <v>192.4</v>
      </c>
      <c r="J100" s="58">
        <f t="shared" si="6"/>
        <v>201</v>
      </c>
      <c r="K100" s="58">
        <f t="shared" si="7"/>
        <v>224.95</v>
      </c>
      <c r="L100" s="62">
        <f t="shared" si="4"/>
        <v>153</v>
      </c>
      <c r="M100" s="60" t="str">
        <f t="shared" si="3"/>
        <v>紅棒</v>
      </c>
    </row>
    <row r="101">
      <c r="A101" s="56">
        <f t="shared" si="1"/>
        <v>5</v>
      </c>
      <c r="B101" s="57">
        <v>45919.0</v>
      </c>
      <c r="C101" s="7">
        <v>25850.0</v>
      </c>
      <c r="D101" s="7">
        <v>25853.0</v>
      </c>
      <c r="E101" s="7">
        <v>25636.0</v>
      </c>
      <c r="F101" s="7">
        <v>25671.0</v>
      </c>
      <c r="G101" s="7">
        <v>59278.0</v>
      </c>
      <c r="H101" s="58">
        <f t="shared" si="2"/>
        <v>217</v>
      </c>
      <c r="I101" s="58">
        <f t="shared" si="5"/>
        <v>212.6</v>
      </c>
      <c r="J101" s="58">
        <f t="shared" si="6"/>
        <v>208.4</v>
      </c>
      <c r="K101" s="58">
        <f t="shared" si="7"/>
        <v>223.3</v>
      </c>
      <c r="L101" s="6">
        <f t="shared" si="4"/>
        <v>141</v>
      </c>
      <c r="M101" s="60" t="str">
        <f t="shared" si="3"/>
        <v>黑棒</v>
      </c>
    </row>
    <row r="102">
      <c r="A102" s="56">
        <f t="shared" si="1"/>
        <v>1</v>
      </c>
      <c r="B102" s="57">
        <v>45922.0</v>
      </c>
      <c r="C102" s="7">
        <v>25756.0</v>
      </c>
      <c r="D102" s="7">
        <v>25941.0</v>
      </c>
      <c r="E102" s="7">
        <v>25689.0</v>
      </c>
      <c r="F102" s="7">
        <v>25891.0</v>
      </c>
      <c r="G102" s="7">
        <v>57516.0</v>
      </c>
      <c r="H102" s="58">
        <f t="shared" si="2"/>
        <v>252</v>
      </c>
      <c r="I102" s="58">
        <f t="shared" si="5"/>
        <v>226.8</v>
      </c>
      <c r="J102" s="58">
        <f t="shared" si="6"/>
        <v>218</v>
      </c>
      <c r="K102" s="58">
        <f t="shared" si="7"/>
        <v>223.7</v>
      </c>
      <c r="L102" s="6" t="str">
        <f t="shared" si="4"/>
        <v/>
      </c>
      <c r="M102" s="60" t="str">
        <f t="shared" si="3"/>
        <v>紅棒</v>
      </c>
    </row>
    <row r="103">
      <c r="A103" s="56">
        <f t="shared" si="1"/>
        <v>2</v>
      </c>
      <c r="B103" s="57">
        <v>45923.0</v>
      </c>
      <c r="C103" s="7">
        <v>26058.0</v>
      </c>
      <c r="D103" s="7">
        <v>26328.0</v>
      </c>
      <c r="E103" s="7">
        <v>26023.0</v>
      </c>
      <c r="F103" s="7">
        <v>26273.0</v>
      </c>
      <c r="G103" s="7">
        <v>77069.0</v>
      </c>
      <c r="H103" s="58">
        <f t="shared" si="2"/>
        <v>305</v>
      </c>
      <c r="I103" s="58">
        <f t="shared" si="5"/>
        <v>237.2</v>
      </c>
      <c r="J103" s="58">
        <f t="shared" si="6"/>
        <v>230.7</v>
      </c>
      <c r="K103" s="58">
        <f t="shared" si="7"/>
        <v>229.4</v>
      </c>
      <c r="L103" s="6">
        <f t="shared" si="4"/>
        <v>167</v>
      </c>
      <c r="M103" s="60" t="str">
        <f t="shared" si="3"/>
        <v>紅棒</v>
      </c>
    </row>
    <row r="104">
      <c r="A104" s="56">
        <f t="shared" si="1"/>
        <v>3</v>
      </c>
      <c r="B104" s="57">
        <v>45924.0</v>
      </c>
      <c r="C104" s="7">
        <v>26376.0</v>
      </c>
      <c r="D104" s="7">
        <v>26393.0</v>
      </c>
      <c r="E104" s="7">
        <v>26072.0</v>
      </c>
      <c r="F104" s="7">
        <v>26237.0</v>
      </c>
      <c r="G104" s="7">
        <v>71446.0</v>
      </c>
      <c r="H104" s="58">
        <f t="shared" si="2"/>
        <v>321</v>
      </c>
      <c r="I104" s="58">
        <f t="shared" si="5"/>
        <v>270.4</v>
      </c>
      <c r="J104" s="58">
        <f t="shared" si="6"/>
        <v>234.5</v>
      </c>
      <c r="K104" s="58">
        <f t="shared" si="7"/>
        <v>237.2</v>
      </c>
      <c r="L104" s="6" t="str">
        <f t="shared" si="4"/>
        <v/>
      </c>
      <c r="M104" s="60" t="str">
        <f t="shared" si="3"/>
        <v>黑棒</v>
      </c>
    </row>
    <row r="105">
      <c r="A105" s="56">
        <f t="shared" si="1"/>
        <v>4</v>
      </c>
      <c r="B105" s="57">
        <v>45925.0</v>
      </c>
      <c r="C105" s="7">
        <v>26191.0</v>
      </c>
      <c r="D105" s="7">
        <v>26283.0</v>
      </c>
      <c r="E105" s="7">
        <v>26087.0</v>
      </c>
      <c r="F105" s="7">
        <v>26097.0</v>
      </c>
      <c r="G105" s="7">
        <v>55994.0</v>
      </c>
      <c r="H105" s="58">
        <f t="shared" si="2"/>
        <v>196</v>
      </c>
      <c r="I105" s="58">
        <f t="shared" si="5"/>
        <v>258.2</v>
      </c>
      <c r="J105" s="58">
        <f t="shared" si="6"/>
        <v>225.3</v>
      </c>
      <c r="K105" s="58">
        <f t="shared" si="7"/>
        <v>236.15</v>
      </c>
      <c r="L105" s="6" t="str">
        <f t="shared" si="4"/>
        <v/>
      </c>
      <c r="M105" s="60" t="str">
        <f t="shared" si="3"/>
        <v>黑棒</v>
      </c>
    </row>
    <row r="106">
      <c r="A106" s="56">
        <f t="shared" si="1"/>
        <v>5</v>
      </c>
      <c r="B106" s="57">
        <v>45926.0</v>
      </c>
      <c r="C106" s="7">
        <v>25944.0</v>
      </c>
      <c r="D106" s="7">
        <v>25991.0</v>
      </c>
      <c r="E106" s="7">
        <v>25500.0</v>
      </c>
      <c r="F106" s="7">
        <v>25669.0</v>
      </c>
      <c r="G106" s="7">
        <v>95718.0</v>
      </c>
      <c r="H106" s="58">
        <f t="shared" si="2"/>
        <v>491</v>
      </c>
      <c r="I106" s="58">
        <f t="shared" si="5"/>
        <v>313</v>
      </c>
      <c r="J106" s="58">
        <f t="shared" si="6"/>
        <v>262.8</v>
      </c>
      <c r="K106" s="58">
        <f t="shared" si="7"/>
        <v>250.35</v>
      </c>
      <c r="L106" s="6">
        <f t="shared" si="4"/>
        <v>-153</v>
      </c>
      <c r="M106" s="60" t="str">
        <f t="shared" si="3"/>
        <v>黑棒</v>
      </c>
    </row>
    <row r="107">
      <c r="A107" s="56">
        <f t="shared" si="1"/>
        <v>2</v>
      </c>
      <c r="B107" s="57">
        <v>45930.0</v>
      </c>
      <c r="C107" s="7">
        <v>25800.0</v>
      </c>
      <c r="D107" s="7">
        <v>26046.0</v>
      </c>
      <c r="E107" s="7">
        <v>25797.0</v>
      </c>
      <c r="F107" s="7">
        <v>25954.0</v>
      </c>
      <c r="G107" s="7">
        <v>58862.0</v>
      </c>
      <c r="H107" s="58">
        <f t="shared" si="2"/>
        <v>249</v>
      </c>
      <c r="I107" s="58">
        <f t="shared" si="5"/>
        <v>312.4</v>
      </c>
      <c r="J107" s="58">
        <f t="shared" si="6"/>
        <v>269.6</v>
      </c>
      <c r="K107" s="58">
        <f t="shared" si="7"/>
        <v>242.9</v>
      </c>
      <c r="L107" s="6">
        <f t="shared" si="4"/>
        <v>131</v>
      </c>
      <c r="M107" s="60" t="str">
        <f t="shared" si="3"/>
        <v>紅棒</v>
      </c>
    </row>
    <row r="108">
      <c r="A108" s="56">
        <f t="shared" si="1"/>
        <v>3</v>
      </c>
      <c r="B108" s="57">
        <v>45931.0</v>
      </c>
      <c r="C108" s="7">
        <v>26094.0</v>
      </c>
      <c r="D108" s="7">
        <v>26375.0</v>
      </c>
      <c r="E108" s="7">
        <v>26000.0</v>
      </c>
      <c r="F108" s="7">
        <v>26045.0</v>
      </c>
      <c r="G108" s="7">
        <v>77280.0</v>
      </c>
      <c r="H108" s="58">
        <f t="shared" si="2"/>
        <v>375</v>
      </c>
      <c r="I108" s="58">
        <f t="shared" si="5"/>
        <v>326.4</v>
      </c>
      <c r="J108" s="58">
        <f t="shared" si="6"/>
        <v>281.8</v>
      </c>
      <c r="K108" s="58">
        <f t="shared" si="7"/>
        <v>243.15</v>
      </c>
      <c r="L108" s="6">
        <f t="shared" si="4"/>
        <v>140</v>
      </c>
      <c r="M108" s="60" t="str">
        <f t="shared" si="3"/>
        <v>黑棒</v>
      </c>
    </row>
    <row r="109">
      <c r="A109" s="56">
        <f t="shared" si="1"/>
        <v>4</v>
      </c>
      <c r="B109" s="57">
        <v>45932.0</v>
      </c>
      <c r="C109" s="7">
        <v>26459.0</v>
      </c>
      <c r="D109" s="7">
        <v>26527.0</v>
      </c>
      <c r="E109" s="7">
        <v>26381.0</v>
      </c>
      <c r="F109" s="7">
        <v>26431.0</v>
      </c>
      <c r="G109" s="7">
        <v>57057.0</v>
      </c>
      <c r="H109" s="58">
        <f t="shared" si="2"/>
        <v>146</v>
      </c>
      <c r="I109" s="58">
        <f t="shared" si="5"/>
        <v>291.4</v>
      </c>
      <c r="J109" s="58">
        <f t="shared" si="6"/>
        <v>280.9</v>
      </c>
      <c r="K109" s="58">
        <f t="shared" si="7"/>
        <v>240.7</v>
      </c>
      <c r="L109" s="6">
        <f t="shared" si="4"/>
        <v>414</v>
      </c>
      <c r="M109" s="60" t="str">
        <f t="shared" si="3"/>
        <v>黑棒</v>
      </c>
    </row>
    <row r="110">
      <c r="A110" s="56">
        <f t="shared" si="1"/>
        <v>5</v>
      </c>
      <c r="B110" s="57">
        <v>45933.0</v>
      </c>
      <c r="C110" s="7">
        <v>26480.0</v>
      </c>
      <c r="D110" s="7">
        <v>26764.0</v>
      </c>
      <c r="E110" s="7">
        <v>26388.0</v>
      </c>
      <c r="F110" s="7">
        <v>26745.0</v>
      </c>
      <c r="G110" s="7">
        <v>68029.0</v>
      </c>
      <c r="H110" s="58">
        <f t="shared" si="2"/>
        <v>376</v>
      </c>
      <c r="I110" s="58">
        <f t="shared" si="5"/>
        <v>327.4</v>
      </c>
      <c r="J110" s="58">
        <f t="shared" si="6"/>
        <v>292.8</v>
      </c>
      <c r="K110" s="58">
        <f t="shared" si="7"/>
        <v>246.9</v>
      </c>
      <c r="L110" s="6" t="str">
        <f t="shared" si="4"/>
        <v/>
      </c>
      <c r="M110" s="60" t="str">
        <f t="shared" si="3"/>
        <v>紅棒</v>
      </c>
    </row>
    <row r="111">
      <c r="A111" s="56">
        <f t="shared" si="1"/>
        <v>2</v>
      </c>
      <c r="B111" s="57">
        <v>45937.0</v>
      </c>
      <c r="C111" s="7">
        <v>27202.0</v>
      </c>
      <c r="D111" s="7">
        <v>27356.0</v>
      </c>
      <c r="E111" s="7">
        <v>26995.0</v>
      </c>
      <c r="F111" s="7">
        <v>27322.0</v>
      </c>
      <c r="G111" s="7">
        <v>70532.0</v>
      </c>
      <c r="H111" s="58">
        <f t="shared" si="2"/>
        <v>361</v>
      </c>
      <c r="I111" s="58">
        <f t="shared" si="5"/>
        <v>301.4</v>
      </c>
      <c r="J111" s="58">
        <f t="shared" si="6"/>
        <v>307.2</v>
      </c>
      <c r="K111" s="58">
        <f t="shared" si="7"/>
        <v>257.8</v>
      </c>
      <c r="L111" s="6">
        <f t="shared" si="4"/>
        <v>457</v>
      </c>
      <c r="M111" s="60" t="str">
        <f t="shared" si="3"/>
        <v>紅棒</v>
      </c>
    </row>
    <row r="112">
      <c r="A112" s="56">
        <f t="shared" si="1"/>
        <v>3</v>
      </c>
      <c r="B112" s="57">
        <v>45938.0</v>
      </c>
      <c r="C112" s="7">
        <v>27061.0</v>
      </c>
      <c r="D112" s="7">
        <v>27127.0</v>
      </c>
      <c r="E112" s="7">
        <v>26912.0</v>
      </c>
      <c r="F112" s="7">
        <v>27093.0</v>
      </c>
      <c r="G112" s="7">
        <v>58514.0</v>
      </c>
      <c r="H112" s="58">
        <f t="shared" si="2"/>
        <v>215</v>
      </c>
      <c r="I112" s="58">
        <f t="shared" si="5"/>
        <v>294.6</v>
      </c>
      <c r="J112" s="58">
        <f t="shared" si="6"/>
        <v>303.5</v>
      </c>
      <c r="K112" s="58">
        <f t="shared" si="7"/>
        <v>260.75</v>
      </c>
      <c r="L112" s="6">
        <f t="shared" si="4"/>
        <v>-261</v>
      </c>
      <c r="M112" s="60" t="str">
        <f t="shared" si="3"/>
        <v>紅棒</v>
      </c>
    </row>
    <row r="113">
      <c r="A113" s="56">
        <f t="shared" si="1"/>
        <v>4</v>
      </c>
      <c r="B113" s="57">
        <v>45939.0</v>
      </c>
      <c r="C113" s="7">
        <v>27440.0</v>
      </c>
      <c r="D113" s="7">
        <v>27455.0</v>
      </c>
      <c r="E113" s="7">
        <v>27273.0</v>
      </c>
      <c r="F113" s="7">
        <v>27335.0</v>
      </c>
      <c r="G113" s="7">
        <v>71155.0</v>
      </c>
      <c r="H113" s="58">
        <f t="shared" si="2"/>
        <v>182</v>
      </c>
      <c r="I113" s="58">
        <f t="shared" si="5"/>
        <v>256</v>
      </c>
      <c r="J113" s="58">
        <f t="shared" si="6"/>
        <v>291.2</v>
      </c>
      <c r="K113" s="58">
        <f t="shared" si="7"/>
        <v>260.95</v>
      </c>
      <c r="L113" s="6">
        <f t="shared" si="4"/>
        <v>347</v>
      </c>
      <c r="M113" s="60" t="str">
        <f t="shared" si="3"/>
        <v>黑棒</v>
      </c>
    </row>
    <row r="114">
      <c r="A114" s="56">
        <f t="shared" si="1"/>
        <v>1</v>
      </c>
      <c r="B114" s="57">
        <v>45943.0</v>
      </c>
      <c r="C114" s="7">
        <v>26450.0</v>
      </c>
      <c r="D114" s="7">
        <v>26945.0</v>
      </c>
      <c r="E114" s="7">
        <v>26390.0</v>
      </c>
      <c r="F114" s="7">
        <v>26904.0</v>
      </c>
      <c r="G114" s="7">
        <v>112620.0</v>
      </c>
      <c r="H114" s="58">
        <f t="shared" si="2"/>
        <v>555</v>
      </c>
      <c r="I114" s="58">
        <f t="shared" si="5"/>
        <v>337.8</v>
      </c>
      <c r="J114" s="58">
        <f t="shared" si="6"/>
        <v>314.6</v>
      </c>
      <c r="K114" s="58">
        <f t="shared" si="7"/>
        <v>274.55</v>
      </c>
      <c r="L114" s="6">
        <f t="shared" si="4"/>
        <v>-885</v>
      </c>
      <c r="M114" s="60" t="str">
        <f t="shared" si="3"/>
        <v>紅棒</v>
      </c>
    </row>
    <row r="115">
      <c r="A115" s="56">
        <f t="shared" si="1"/>
        <v>2</v>
      </c>
      <c r="B115" s="57">
        <v>45944.0</v>
      </c>
      <c r="C115" s="7">
        <v>27269.0</v>
      </c>
      <c r="D115" s="7">
        <v>27450.0</v>
      </c>
      <c r="E115" s="7">
        <v>26716.0</v>
      </c>
      <c r="F115" s="7">
        <v>26718.0</v>
      </c>
      <c r="G115" s="7">
        <v>122162.0</v>
      </c>
      <c r="H115" s="58">
        <f t="shared" si="2"/>
        <v>734</v>
      </c>
      <c r="I115" s="58">
        <f t="shared" si="5"/>
        <v>409.4</v>
      </c>
      <c r="J115" s="58">
        <f t="shared" si="6"/>
        <v>368.4</v>
      </c>
      <c r="K115" s="58">
        <f t="shared" si="7"/>
        <v>296.85</v>
      </c>
      <c r="L115" s="6">
        <f t="shared" si="4"/>
        <v>365</v>
      </c>
      <c r="M115" s="60" t="str">
        <f t="shared" si="3"/>
        <v>黑棒</v>
      </c>
    </row>
    <row r="116">
      <c r="A116" s="56" t="str">
        <f t="shared" si="1"/>
        <v/>
      </c>
      <c r="B116" s="57"/>
      <c r="C116" s="7"/>
      <c r="D116" s="7"/>
      <c r="E116" s="7"/>
      <c r="F116" s="7"/>
      <c r="G116" s="7"/>
      <c r="H116" s="58" t="str">
        <f t="shared" si="2"/>
        <v/>
      </c>
      <c r="I116" s="58" t="str">
        <f t="shared" si="5"/>
        <v/>
      </c>
      <c r="J116" s="58" t="str">
        <f t="shared" si="6"/>
        <v/>
      </c>
      <c r="K116" s="58" t="str">
        <f t="shared" si="7"/>
        <v/>
      </c>
      <c r="L116" s="6" t="str">
        <f t="shared" si="4"/>
        <v/>
      </c>
      <c r="M116" s="60" t="str">
        <f t="shared" si="3"/>
        <v/>
      </c>
    </row>
    <row r="117">
      <c r="A117" s="56" t="str">
        <f t="shared" si="1"/>
        <v/>
      </c>
      <c r="B117" s="57"/>
      <c r="C117" s="7"/>
      <c r="D117" s="7"/>
      <c r="E117" s="7"/>
      <c r="F117" s="7"/>
      <c r="G117" s="7"/>
      <c r="H117" s="58" t="str">
        <f t="shared" si="2"/>
        <v/>
      </c>
      <c r="I117" s="58" t="str">
        <f t="shared" si="5"/>
        <v/>
      </c>
      <c r="J117" s="58" t="str">
        <f t="shared" si="6"/>
        <v/>
      </c>
      <c r="K117" s="58" t="str">
        <f t="shared" si="7"/>
        <v/>
      </c>
      <c r="L117" s="6" t="str">
        <f t="shared" si="4"/>
        <v/>
      </c>
      <c r="M117" s="60" t="str">
        <f t="shared" si="3"/>
        <v/>
      </c>
    </row>
    <row r="118">
      <c r="A118" s="56" t="str">
        <f t="shared" si="1"/>
        <v/>
      </c>
      <c r="B118" s="57"/>
      <c r="C118" s="7"/>
      <c r="D118" s="7"/>
      <c r="E118" s="7"/>
      <c r="F118" s="7"/>
      <c r="G118" s="7"/>
      <c r="H118" s="58" t="str">
        <f t="shared" si="2"/>
        <v/>
      </c>
      <c r="I118" s="58" t="str">
        <f t="shared" si="5"/>
        <v/>
      </c>
      <c r="J118" s="58" t="str">
        <f t="shared" si="6"/>
        <v/>
      </c>
      <c r="K118" s="58" t="str">
        <f t="shared" si="7"/>
        <v/>
      </c>
      <c r="L118" s="6" t="str">
        <f t="shared" si="4"/>
        <v/>
      </c>
      <c r="M118" s="60" t="str">
        <f t="shared" si="3"/>
        <v/>
      </c>
    </row>
    <row r="119">
      <c r="A119" s="56" t="str">
        <f t="shared" si="1"/>
        <v/>
      </c>
      <c r="B119" s="57"/>
      <c r="C119" s="7"/>
      <c r="D119" s="7"/>
      <c r="E119" s="7"/>
      <c r="F119" s="7"/>
      <c r="G119" s="7"/>
      <c r="H119" s="58" t="str">
        <f t="shared" si="2"/>
        <v/>
      </c>
      <c r="I119" s="58" t="str">
        <f t="shared" si="5"/>
        <v/>
      </c>
      <c r="J119" s="58" t="str">
        <f t="shared" si="6"/>
        <v/>
      </c>
      <c r="K119" s="58" t="str">
        <f t="shared" si="7"/>
        <v/>
      </c>
      <c r="L119" s="6" t="str">
        <f t="shared" si="4"/>
        <v/>
      </c>
      <c r="M119" s="60" t="str">
        <f t="shared" si="3"/>
        <v/>
      </c>
    </row>
    <row r="120">
      <c r="A120" s="56" t="str">
        <f t="shared" si="1"/>
        <v/>
      </c>
      <c r="B120" s="57"/>
      <c r="C120" s="7"/>
      <c r="D120" s="7"/>
      <c r="E120" s="7"/>
      <c r="F120" s="7"/>
      <c r="G120" s="7"/>
      <c r="H120" s="58" t="str">
        <f t="shared" si="2"/>
        <v/>
      </c>
      <c r="I120" s="58" t="str">
        <f t="shared" si="5"/>
        <v/>
      </c>
      <c r="J120" s="58" t="str">
        <f t="shared" si="6"/>
        <v/>
      </c>
      <c r="K120" s="58" t="str">
        <f t="shared" si="7"/>
        <v/>
      </c>
      <c r="L120" s="6" t="str">
        <f t="shared" si="4"/>
        <v/>
      </c>
      <c r="M120" s="60" t="str">
        <f t="shared" si="3"/>
        <v/>
      </c>
    </row>
    <row r="121">
      <c r="A121" s="56" t="str">
        <f t="shared" si="1"/>
        <v/>
      </c>
      <c r="B121" s="57"/>
      <c r="C121" s="7"/>
      <c r="D121" s="7"/>
      <c r="E121" s="7"/>
      <c r="F121" s="7"/>
      <c r="G121" s="7"/>
      <c r="H121" s="58" t="str">
        <f t="shared" si="2"/>
        <v/>
      </c>
      <c r="I121" s="58" t="str">
        <f t="shared" si="5"/>
        <v/>
      </c>
      <c r="J121" s="58" t="str">
        <f t="shared" si="6"/>
        <v/>
      </c>
      <c r="K121" s="58" t="str">
        <f t="shared" si="7"/>
        <v/>
      </c>
      <c r="L121" s="6" t="str">
        <f t="shared" si="4"/>
        <v/>
      </c>
      <c r="M121" s="60" t="str">
        <f t="shared" si="3"/>
        <v/>
      </c>
    </row>
    <row r="122">
      <c r="A122" s="56" t="str">
        <f t="shared" si="1"/>
        <v/>
      </c>
      <c r="B122" s="57"/>
      <c r="C122" s="7"/>
      <c r="D122" s="7"/>
      <c r="E122" s="7"/>
      <c r="F122" s="7"/>
      <c r="G122" s="7"/>
      <c r="H122" s="58" t="str">
        <f t="shared" si="2"/>
        <v/>
      </c>
      <c r="I122" s="58" t="str">
        <f t="shared" si="5"/>
        <v/>
      </c>
      <c r="J122" s="58" t="str">
        <f t="shared" si="6"/>
        <v/>
      </c>
      <c r="K122" s="58" t="str">
        <f t="shared" si="7"/>
        <v/>
      </c>
      <c r="L122" s="6" t="str">
        <f t="shared" si="4"/>
        <v/>
      </c>
      <c r="M122" s="60" t="str">
        <f t="shared" si="3"/>
        <v/>
      </c>
    </row>
    <row r="123">
      <c r="A123" s="56" t="str">
        <f t="shared" si="1"/>
        <v/>
      </c>
      <c r="B123" s="57"/>
      <c r="C123" s="7"/>
      <c r="D123" s="7"/>
      <c r="E123" s="7"/>
      <c r="F123" s="7"/>
      <c r="G123" s="7"/>
      <c r="H123" s="58" t="str">
        <f t="shared" si="2"/>
        <v/>
      </c>
      <c r="I123" s="58" t="str">
        <f t="shared" si="5"/>
        <v/>
      </c>
      <c r="J123" s="58" t="str">
        <f t="shared" si="6"/>
        <v/>
      </c>
      <c r="K123" s="58" t="str">
        <f t="shared" si="7"/>
        <v/>
      </c>
      <c r="L123" s="6" t="str">
        <f t="shared" si="4"/>
        <v/>
      </c>
      <c r="M123" s="60" t="str">
        <f t="shared" si="3"/>
        <v/>
      </c>
    </row>
    <row r="124">
      <c r="A124" s="56" t="str">
        <f t="shared" si="1"/>
        <v/>
      </c>
      <c r="B124" s="57"/>
      <c r="C124" s="7"/>
      <c r="D124" s="7"/>
      <c r="E124" s="7"/>
      <c r="F124" s="7"/>
      <c r="G124" s="7"/>
      <c r="H124" s="58" t="str">
        <f t="shared" si="2"/>
        <v/>
      </c>
      <c r="I124" s="58" t="str">
        <f t="shared" si="5"/>
        <v/>
      </c>
      <c r="J124" s="58" t="str">
        <f t="shared" si="6"/>
        <v/>
      </c>
      <c r="K124" s="58" t="str">
        <f t="shared" si="7"/>
        <v/>
      </c>
      <c r="L124" s="6" t="str">
        <f t="shared" si="4"/>
        <v/>
      </c>
      <c r="M124" s="60" t="str">
        <f t="shared" si="3"/>
        <v/>
      </c>
    </row>
    <row r="125">
      <c r="A125" s="56" t="str">
        <f t="shared" si="1"/>
        <v/>
      </c>
      <c r="B125" s="57"/>
      <c r="C125" s="7"/>
      <c r="D125" s="7"/>
      <c r="E125" s="7"/>
      <c r="F125" s="7"/>
      <c r="G125" s="7"/>
      <c r="H125" s="58" t="str">
        <f t="shared" si="2"/>
        <v/>
      </c>
      <c r="I125" s="58" t="str">
        <f t="shared" si="5"/>
        <v/>
      </c>
      <c r="J125" s="58" t="str">
        <f t="shared" si="6"/>
        <v/>
      </c>
      <c r="K125" s="58" t="str">
        <f t="shared" si="7"/>
        <v/>
      </c>
      <c r="L125" s="6" t="str">
        <f t="shared" si="4"/>
        <v/>
      </c>
      <c r="M125" s="60" t="str">
        <f t="shared" si="3"/>
        <v/>
      </c>
    </row>
    <row r="126">
      <c r="A126" s="56" t="str">
        <f t="shared" si="1"/>
        <v/>
      </c>
      <c r="B126" s="57"/>
      <c r="C126" s="7"/>
      <c r="D126" s="7"/>
      <c r="E126" s="7"/>
      <c r="F126" s="7"/>
      <c r="G126" s="7"/>
      <c r="H126" s="58" t="str">
        <f t="shared" si="2"/>
        <v/>
      </c>
      <c r="I126" s="58" t="str">
        <f t="shared" si="5"/>
        <v/>
      </c>
      <c r="J126" s="58" t="str">
        <f t="shared" si="6"/>
        <v/>
      </c>
      <c r="K126" s="58" t="str">
        <f t="shared" si="7"/>
        <v/>
      </c>
      <c r="L126" s="6" t="str">
        <f t="shared" si="4"/>
        <v/>
      </c>
      <c r="M126" s="60" t="str">
        <f t="shared" si="3"/>
        <v/>
      </c>
    </row>
    <row r="127">
      <c r="A127" s="56" t="str">
        <f t="shared" si="1"/>
        <v/>
      </c>
      <c r="B127" s="57"/>
      <c r="C127" s="7"/>
      <c r="D127" s="7"/>
      <c r="E127" s="7"/>
      <c r="F127" s="7"/>
      <c r="G127" s="7"/>
      <c r="H127" s="58" t="str">
        <f t="shared" si="2"/>
        <v/>
      </c>
      <c r="I127" s="58" t="str">
        <f t="shared" si="5"/>
        <v/>
      </c>
      <c r="J127" s="58" t="str">
        <f t="shared" si="6"/>
        <v/>
      </c>
      <c r="K127" s="58" t="str">
        <f t="shared" si="7"/>
        <v/>
      </c>
      <c r="L127" s="6" t="str">
        <f t="shared" si="4"/>
        <v/>
      </c>
      <c r="M127" s="60" t="str">
        <f t="shared" si="3"/>
        <v/>
      </c>
    </row>
    <row r="128">
      <c r="A128" s="56" t="str">
        <f t="shared" si="1"/>
        <v/>
      </c>
      <c r="B128" s="57"/>
      <c r="C128" s="7"/>
      <c r="D128" s="7"/>
      <c r="E128" s="7"/>
      <c r="F128" s="7"/>
      <c r="G128" s="7"/>
      <c r="H128" s="58" t="str">
        <f t="shared" si="2"/>
        <v/>
      </c>
      <c r="I128" s="58" t="str">
        <f t="shared" si="5"/>
        <v/>
      </c>
      <c r="J128" s="58" t="str">
        <f t="shared" si="6"/>
        <v/>
      </c>
      <c r="K128" s="58" t="str">
        <f t="shared" si="7"/>
        <v/>
      </c>
      <c r="L128" s="6" t="str">
        <f t="shared" si="4"/>
        <v/>
      </c>
      <c r="M128" s="60" t="str">
        <f t="shared" si="3"/>
        <v/>
      </c>
    </row>
    <row r="129">
      <c r="A129" s="56" t="str">
        <f t="shared" si="1"/>
        <v/>
      </c>
      <c r="B129" s="57"/>
      <c r="C129" s="7"/>
      <c r="D129" s="7"/>
      <c r="E129" s="7"/>
      <c r="F129" s="7"/>
      <c r="G129" s="7"/>
      <c r="H129" s="58" t="str">
        <f t="shared" si="2"/>
        <v/>
      </c>
      <c r="I129" s="58" t="str">
        <f t="shared" si="5"/>
        <v/>
      </c>
      <c r="J129" s="58" t="str">
        <f t="shared" si="6"/>
        <v/>
      </c>
      <c r="K129" s="58" t="str">
        <f t="shared" si="7"/>
        <v/>
      </c>
      <c r="L129" s="6" t="str">
        <f t="shared" si="4"/>
        <v/>
      </c>
      <c r="M129" s="60" t="str">
        <f t="shared" si="3"/>
        <v/>
      </c>
    </row>
    <row r="130">
      <c r="A130" s="56" t="str">
        <f t="shared" si="1"/>
        <v/>
      </c>
      <c r="B130" s="57"/>
      <c r="C130" s="7"/>
      <c r="D130" s="7"/>
      <c r="E130" s="7"/>
      <c r="F130" s="7"/>
      <c r="G130" s="7"/>
      <c r="H130" s="58" t="str">
        <f t="shared" si="2"/>
        <v/>
      </c>
      <c r="I130" s="58" t="str">
        <f t="shared" si="5"/>
        <v/>
      </c>
      <c r="J130" s="58" t="str">
        <f t="shared" si="6"/>
        <v/>
      </c>
      <c r="K130" s="58" t="str">
        <f t="shared" si="7"/>
        <v/>
      </c>
      <c r="L130" s="6" t="str">
        <f t="shared" si="4"/>
        <v/>
      </c>
      <c r="M130" s="60" t="str">
        <f t="shared" si="3"/>
        <v/>
      </c>
    </row>
    <row r="131">
      <c r="A131" s="56" t="str">
        <f t="shared" si="1"/>
        <v/>
      </c>
      <c r="B131" s="57"/>
      <c r="C131" s="7"/>
      <c r="D131" s="7"/>
      <c r="E131" s="7"/>
      <c r="F131" s="7"/>
      <c r="G131" s="7"/>
      <c r="H131" s="58" t="str">
        <f t="shared" si="2"/>
        <v/>
      </c>
      <c r="I131" s="58" t="str">
        <f t="shared" si="5"/>
        <v/>
      </c>
      <c r="J131" s="58" t="str">
        <f t="shared" si="6"/>
        <v/>
      </c>
      <c r="K131" s="58" t="str">
        <f t="shared" si="7"/>
        <v/>
      </c>
      <c r="L131" s="6" t="str">
        <f t="shared" si="4"/>
        <v/>
      </c>
      <c r="M131" s="60" t="str">
        <f t="shared" si="3"/>
        <v/>
      </c>
    </row>
    <row r="132">
      <c r="A132" s="56" t="str">
        <f t="shared" si="1"/>
        <v/>
      </c>
      <c r="B132" s="57"/>
      <c r="C132" s="7"/>
      <c r="D132" s="7"/>
      <c r="E132" s="7"/>
      <c r="F132" s="7"/>
      <c r="G132" s="7"/>
      <c r="H132" s="58" t="str">
        <f t="shared" si="2"/>
        <v/>
      </c>
      <c r="I132" s="58" t="str">
        <f t="shared" si="5"/>
        <v/>
      </c>
      <c r="J132" s="58" t="str">
        <f t="shared" si="6"/>
        <v/>
      </c>
      <c r="K132" s="58" t="str">
        <f t="shared" si="7"/>
        <v/>
      </c>
      <c r="L132" s="6" t="str">
        <f t="shared" si="4"/>
        <v/>
      </c>
      <c r="M132" s="60" t="str">
        <f t="shared" si="3"/>
        <v/>
      </c>
    </row>
    <row r="133">
      <c r="A133" s="56" t="str">
        <f t="shared" si="1"/>
        <v/>
      </c>
      <c r="B133" s="57"/>
      <c r="C133" s="7"/>
      <c r="D133" s="7"/>
      <c r="E133" s="7"/>
      <c r="F133" s="7"/>
      <c r="G133" s="7"/>
      <c r="H133" s="58" t="str">
        <f t="shared" si="2"/>
        <v/>
      </c>
      <c r="I133" s="58" t="str">
        <f t="shared" si="5"/>
        <v/>
      </c>
      <c r="J133" s="58" t="str">
        <f t="shared" si="6"/>
        <v/>
      </c>
      <c r="K133" s="58" t="str">
        <f t="shared" si="7"/>
        <v/>
      </c>
      <c r="L133" s="6" t="str">
        <f t="shared" si="4"/>
        <v/>
      </c>
      <c r="M133" s="60" t="str">
        <f t="shared" si="3"/>
        <v/>
      </c>
    </row>
    <row r="134">
      <c r="A134" s="56" t="str">
        <f t="shared" si="1"/>
        <v/>
      </c>
      <c r="B134" s="57"/>
      <c r="C134" s="7"/>
      <c r="D134" s="7"/>
      <c r="E134" s="7"/>
      <c r="F134" s="7"/>
      <c r="G134" s="7"/>
      <c r="H134" s="58" t="str">
        <f t="shared" si="2"/>
        <v/>
      </c>
      <c r="I134" s="58" t="str">
        <f t="shared" si="5"/>
        <v/>
      </c>
      <c r="J134" s="58" t="str">
        <f t="shared" si="6"/>
        <v/>
      </c>
      <c r="K134" s="58" t="str">
        <f t="shared" si="7"/>
        <v/>
      </c>
      <c r="L134" s="6" t="str">
        <f t="shared" si="4"/>
        <v/>
      </c>
      <c r="M134" s="60" t="str">
        <f t="shared" si="3"/>
        <v/>
      </c>
    </row>
    <row r="135">
      <c r="A135" s="56" t="str">
        <f t="shared" si="1"/>
        <v/>
      </c>
      <c r="B135" s="57"/>
      <c r="C135" s="7"/>
      <c r="D135" s="7"/>
      <c r="E135" s="7"/>
      <c r="F135" s="7"/>
      <c r="G135" s="7"/>
      <c r="H135" s="58" t="str">
        <f t="shared" si="2"/>
        <v/>
      </c>
      <c r="I135" s="58" t="str">
        <f t="shared" si="5"/>
        <v/>
      </c>
      <c r="J135" s="58" t="str">
        <f t="shared" si="6"/>
        <v/>
      </c>
      <c r="K135" s="58" t="str">
        <f t="shared" si="7"/>
        <v/>
      </c>
      <c r="L135" s="6" t="str">
        <f t="shared" si="4"/>
        <v/>
      </c>
      <c r="M135" s="60" t="str">
        <f t="shared" si="3"/>
        <v/>
      </c>
    </row>
    <row r="136">
      <c r="A136" s="56" t="str">
        <f t="shared" si="1"/>
        <v/>
      </c>
      <c r="B136" s="57"/>
      <c r="C136" s="7"/>
      <c r="D136" s="7"/>
      <c r="E136" s="7"/>
      <c r="F136" s="7"/>
      <c r="G136" s="7"/>
      <c r="H136" s="58" t="str">
        <f t="shared" si="2"/>
        <v/>
      </c>
      <c r="I136" s="58" t="str">
        <f t="shared" si="5"/>
        <v/>
      </c>
      <c r="J136" s="58" t="str">
        <f t="shared" si="6"/>
        <v/>
      </c>
      <c r="K136" s="58" t="str">
        <f t="shared" si="7"/>
        <v/>
      </c>
      <c r="L136" s="6" t="str">
        <f t="shared" si="4"/>
        <v/>
      </c>
      <c r="M136" s="60" t="str">
        <f t="shared" si="3"/>
        <v/>
      </c>
    </row>
    <row r="137">
      <c r="A137" s="56" t="str">
        <f t="shared" si="1"/>
        <v/>
      </c>
      <c r="B137" s="57"/>
      <c r="C137" s="7"/>
      <c r="D137" s="7"/>
      <c r="E137" s="7"/>
      <c r="F137" s="7"/>
      <c r="G137" s="7"/>
      <c r="H137" s="58" t="str">
        <f t="shared" si="2"/>
        <v/>
      </c>
      <c r="I137" s="58" t="str">
        <f t="shared" si="5"/>
        <v/>
      </c>
      <c r="J137" s="58" t="str">
        <f t="shared" si="6"/>
        <v/>
      </c>
      <c r="K137" s="58" t="str">
        <f t="shared" si="7"/>
        <v/>
      </c>
      <c r="L137" s="6" t="str">
        <f t="shared" si="4"/>
        <v/>
      </c>
      <c r="M137" s="60" t="str">
        <f t="shared" si="3"/>
        <v/>
      </c>
    </row>
    <row r="138">
      <c r="A138" s="56" t="str">
        <f t="shared" si="1"/>
        <v/>
      </c>
      <c r="B138" s="57"/>
      <c r="C138" s="7"/>
      <c r="D138" s="7"/>
      <c r="E138" s="7"/>
      <c r="F138" s="7"/>
      <c r="G138" s="7"/>
      <c r="H138" s="58" t="str">
        <f t="shared" si="2"/>
        <v/>
      </c>
      <c r="I138" s="58" t="str">
        <f t="shared" si="5"/>
        <v/>
      </c>
      <c r="J138" s="58" t="str">
        <f t="shared" si="6"/>
        <v/>
      </c>
      <c r="K138" s="58" t="str">
        <f t="shared" si="7"/>
        <v/>
      </c>
      <c r="L138" s="6" t="str">
        <f t="shared" si="4"/>
        <v/>
      </c>
      <c r="M138" s="60" t="str">
        <f t="shared" si="3"/>
        <v/>
      </c>
    </row>
    <row r="139">
      <c r="A139" s="56" t="str">
        <f t="shared" si="1"/>
        <v/>
      </c>
      <c r="B139" s="57"/>
      <c r="C139" s="7"/>
      <c r="D139" s="7"/>
      <c r="E139" s="7"/>
      <c r="F139" s="7"/>
      <c r="G139" s="7"/>
      <c r="H139" s="58" t="str">
        <f t="shared" si="2"/>
        <v/>
      </c>
      <c r="I139" s="58" t="str">
        <f t="shared" si="5"/>
        <v/>
      </c>
      <c r="J139" s="58" t="str">
        <f t="shared" si="6"/>
        <v/>
      </c>
      <c r="K139" s="58" t="str">
        <f t="shared" si="7"/>
        <v/>
      </c>
      <c r="L139" s="6" t="str">
        <f t="shared" si="4"/>
        <v/>
      </c>
      <c r="M139" s="60" t="str">
        <f t="shared" si="3"/>
        <v/>
      </c>
    </row>
    <row r="140">
      <c r="A140" s="56" t="str">
        <f t="shared" si="1"/>
        <v/>
      </c>
      <c r="B140" s="57"/>
      <c r="C140" s="7"/>
      <c r="D140" s="7"/>
      <c r="E140" s="7"/>
      <c r="F140" s="7"/>
      <c r="G140" s="7"/>
      <c r="H140" s="58" t="str">
        <f t="shared" si="2"/>
        <v/>
      </c>
      <c r="I140" s="58" t="str">
        <f t="shared" si="5"/>
        <v/>
      </c>
      <c r="J140" s="58" t="str">
        <f t="shared" si="6"/>
        <v/>
      </c>
      <c r="K140" s="58" t="str">
        <f t="shared" si="7"/>
        <v/>
      </c>
      <c r="L140" s="6" t="str">
        <f t="shared" si="4"/>
        <v/>
      </c>
      <c r="M140" s="60" t="str">
        <f t="shared" si="3"/>
        <v/>
      </c>
    </row>
    <row r="141">
      <c r="A141" s="56" t="str">
        <f t="shared" si="1"/>
        <v/>
      </c>
      <c r="B141" s="57"/>
      <c r="C141" s="7"/>
      <c r="D141" s="7"/>
      <c r="E141" s="7"/>
      <c r="F141" s="7"/>
      <c r="G141" s="7"/>
      <c r="H141" s="58" t="str">
        <f t="shared" si="2"/>
        <v/>
      </c>
      <c r="I141" s="58" t="str">
        <f t="shared" si="5"/>
        <v/>
      </c>
      <c r="J141" s="58" t="str">
        <f t="shared" si="6"/>
        <v/>
      </c>
      <c r="K141" s="58" t="str">
        <f t="shared" si="7"/>
        <v/>
      </c>
      <c r="L141" s="6" t="str">
        <f t="shared" si="4"/>
        <v/>
      </c>
      <c r="M141" s="60" t="str">
        <f t="shared" si="3"/>
        <v/>
      </c>
    </row>
    <row r="142">
      <c r="A142" s="56" t="str">
        <f t="shared" si="1"/>
        <v/>
      </c>
      <c r="B142" s="57"/>
      <c r="C142" s="7"/>
      <c r="D142" s="7"/>
      <c r="E142" s="7"/>
      <c r="F142" s="7"/>
      <c r="G142" s="7"/>
      <c r="H142" s="58" t="str">
        <f t="shared" si="2"/>
        <v/>
      </c>
      <c r="I142" s="58" t="str">
        <f t="shared" si="5"/>
        <v/>
      </c>
      <c r="J142" s="58" t="str">
        <f t="shared" si="6"/>
        <v/>
      </c>
      <c r="K142" s="58" t="str">
        <f t="shared" si="7"/>
        <v/>
      </c>
      <c r="L142" s="6" t="str">
        <f t="shared" si="4"/>
        <v/>
      </c>
      <c r="M142" s="60" t="str">
        <f t="shared" si="3"/>
        <v/>
      </c>
    </row>
    <row r="143">
      <c r="A143" s="56" t="str">
        <f t="shared" si="1"/>
        <v/>
      </c>
      <c r="B143" s="57"/>
      <c r="C143" s="7"/>
      <c r="D143" s="7"/>
      <c r="E143" s="7"/>
      <c r="F143" s="7"/>
      <c r="G143" s="7"/>
      <c r="H143" s="58" t="str">
        <f t="shared" si="2"/>
        <v/>
      </c>
      <c r="I143" s="58" t="str">
        <f t="shared" si="5"/>
        <v/>
      </c>
      <c r="J143" s="58" t="str">
        <f t="shared" si="6"/>
        <v/>
      </c>
      <c r="K143" s="58" t="str">
        <f t="shared" si="7"/>
        <v/>
      </c>
      <c r="L143" s="6" t="str">
        <f t="shared" si="4"/>
        <v/>
      </c>
      <c r="M143" s="60" t="str">
        <f t="shared" si="3"/>
        <v/>
      </c>
    </row>
    <row r="144">
      <c r="A144" s="56" t="str">
        <f t="shared" si="1"/>
        <v/>
      </c>
      <c r="B144" s="57"/>
      <c r="C144" s="7"/>
      <c r="D144" s="7"/>
      <c r="E144" s="7"/>
      <c r="F144" s="7"/>
      <c r="G144" s="7"/>
      <c r="H144" s="58" t="str">
        <f t="shared" si="2"/>
        <v/>
      </c>
      <c r="I144" s="58" t="str">
        <f t="shared" si="5"/>
        <v/>
      </c>
      <c r="J144" s="58" t="str">
        <f t="shared" si="6"/>
        <v/>
      </c>
      <c r="K144" s="58" t="str">
        <f t="shared" si="7"/>
        <v/>
      </c>
      <c r="L144" s="6" t="str">
        <f t="shared" si="4"/>
        <v/>
      </c>
      <c r="M144" s="60" t="str">
        <f t="shared" si="3"/>
        <v/>
      </c>
    </row>
    <row r="145">
      <c r="A145" s="56" t="str">
        <f t="shared" si="1"/>
        <v/>
      </c>
      <c r="B145" s="57"/>
      <c r="C145" s="7"/>
      <c r="D145" s="7"/>
      <c r="E145" s="7"/>
      <c r="F145" s="7"/>
      <c r="G145" s="7"/>
      <c r="H145" s="58" t="str">
        <f t="shared" si="2"/>
        <v/>
      </c>
      <c r="I145" s="58" t="str">
        <f t="shared" si="5"/>
        <v/>
      </c>
      <c r="J145" s="58" t="str">
        <f t="shared" si="6"/>
        <v/>
      </c>
      <c r="K145" s="58" t="str">
        <f t="shared" si="7"/>
        <v/>
      </c>
      <c r="L145" s="6" t="str">
        <f t="shared" si="4"/>
        <v/>
      </c>
      <c r="M145" s="60" t="str">
        <f t="shared" si="3"/>
        <v/>
      </c>
    </row>
    <row r="146">
      <c r="A146" s="56" t="str">
        <f t="shared" si="1"/>
        <v/>
      </c>
      <c r="B146" s="57"/>
      <c r="C146" s="7"/>
      <c r="D146" s="7"/>
      <c r="E146" s="7"/>
      <c r="F146" s="7"/>
      <c r="G146" s="7"/>
      <c r="H146" s="58" t="str">
        <f t="shared" si="2"/>
        <v/>
      </c>
      <c r="I146" s="58" t="str">
        <f t="shared" si="5"/>
        <v/>
      </c>
      <c r="J146" s="58" t="str">
        <f t="shared" si="6"/>
        <v/>
      </c>
      <c r="K146" s="58" t="str">
        <f t="shared" si="7"/>
        <v/>
      </c>
      <c r="L146" s="6" t="str">
        <f t="shared" si="4"/>
        <v/>
      </c>
      <c r="M146" s="60" t="str">
        <f t="shared" si="3"/>
        <v/>
      </c>
    </row>
    <row r="147">
      <c r="A147" s="56" t="str">
        <f t="shared" si="1"/>
        <v/>
      </c>
      <c r="B147" s="57"/>
      <c r="C147" s="7"/>
      <c r="D147" s="7"/>
      <c r="E147" s="7"/>
      <c r="F147" s="7"/>
      <c r="G147" s="7"/>
      <c r="H147" s="58" t="str">
        <f t="shared" si="2"/>
        <v/>
      </c>
      <c r="I147" s="58" t="str">
        <f t="shared" si="5"/>
        <v/>
      </c>
      <c r="J147" s="58" t="str">
        <f t="shared" si="6"/>
        <v/>
      </c>
      <c r="K147" s="58" t="str">
        <f t="shared" si="7"/>
        <v/>
      </c>
      <c r="L147" s="6" t="str">
        <f t="shared" si="4"/>
        <v/>
      </c>
      <c r="M147" s="60" t="str">
        <f t="shared" si="3"/>
        <v/>
      </c>
    </row>
    <row r="148">
      <c r="A148" s="56" t="str">
        <f t="shared" si="1"/>
        <v/>
      </c>
      <c r="B148" s="57"/>
      <c r="C148" s="7"/>
      <c r="D148" s="7"/>
      <c r="E148" s="7"/>
      <c r="F148" s="7"/>
      <c r="G148" s="7"/>
      <c r="H148" s="58" t="str">
        <f t="shared" si="2"/>
        <v/>
      </c>
      <c r="I148" s="58" t="str">
        <f t="shared" si="5"/>
        <v/>
      </c>
      <c r="J148" s="58" t="str">
        <f t="shared" si="6"/>
        <v/>
      </c>
      <c r="K148" s="58" t="str">
        <f t="shared" si="7"/>
        <v/>
      </c>
      <c r="L148" s="6" t="str">
        <f t="shared" si="4"/>
        <v/>
      </c>
      <c r="M148" s="60" t="str">
        <f t="shared" si="3"/>
        <v/>
      </c>
    </row>
    <row r="149">
      <c r="A149" s="56" t="str">
        <f t="shared" si="1"/>
        <v/>
      </c>
      <c r="B149" s="57"/>
      <c r="C149" s="7"/>
      <c r="D149" s="7"/>
      <c r="E149" s="7"/>
      <c r="F149" s="7"/>
      <c r="G149" s="7"/>
      <c r="H149" s="58" t="str">
        <f t="shared" si="2"/>
        <v/>
      </c>
      <c r="I149" s="58" t="str">
        <f t="shared" si="5"/>
        <v/>
      </c>
      <c r="J149" s="58" t="str">
        <f t="shared" si="6"/>
        <v/>
      </c>
      <c r="K149" s="58" t="str">
        <f t="shared" si="7"/>
        <v/>
      </c>
      <c r="L149" s="6" t="str">
        <f t="shared" si="4"/>
        <v/>
      </c>
      <c r="M149" s="60" t="str">
        <f t="shared" si="3"/>
        <v/>
      </c>
    </row>
    <row r="150">
      <c r="A150" s="56" t="str">
        <f t="shared" si="1"/>
        <v/>
      </c>
      <c r="B150" s="57"/>
      <c r="C150" s="7"/>
      <c r="D150" s="7"/>
      <c r="E150" s="7"/>
      <c r="F150" s="7"/>
      <c r="G150" s="7"/>
      <c r="H150" s="58" t="str">
        <f t="shared" si="2"/>
        <v/>
      </c>
      <c r="I150" s="58" t="str">
        <f t="shared" si="5"/>
        <v/>
      </c>
      <c r="J150" s="58" t="str">
        <f t="shared" si="6"/>
        <v/>
      </c>
      <c r="K150" s="58" t="str">
        <f t="shared" si="7"/>
        <v/>
      </c>
      <c r="L150" s="6" t="str">
        <f t="shared" si="4"/>
        <v/>
      </c>
      <c r="M150" s="60" t="str">
        <f t="shared" si="3"/>
        <v/>
      </c>
    </row>
    <row r="151">
      <c r="A151" s="56" t="str">
        <f t="shared" si="1"/>
        <v/>
      </c>
      <c r="B151" s="57"/>
      <c r="C151" s="7"/>
      <c r="D151" s="7"/>
      <c r="E151" s="7"/>
      <c r="F151" s="7"/>
      <c r="G151" s="7"/>
      <c r="H151" s="58" t="str">
        <f t="shared" si="2"/>
        <v/>
      </c>
      <c r="I151" s="58" t="str">
        <f t="shared" si="5"/>
        <v/>
      </c>
      <c r="J151" s="58" t="str">
        <f t="shared" si="6"/>
        <v/>
      </c>
      <c r="K151" s="58" t="str">
        <f t="shared" si="7"/>
        <v/>
      </c>
      <c r="L151" s="6" t="str">
        <f t="shared" si="4"/>
        <v/>
      </c>
      <c r="M151" s="60" t="str">
        <f t="shared" si="3"/>
        <v/>
      </c>
    </row>
    <row r="152">
      <c r="A152" s="56" t="str">
        <f t="shared" si="1"/>
        <v/>
      </c>
      <c r="B152" s="57"/>
      <c r="C152" s="7"/>
      <c r="D152" s="7"/>
      <c r="E152" s="7"/>
      <c r="F152" s="7"/>
      <c r="G152" s="7"/>
      <c r="H152" s="58" t="str">
        <f t="shared" si="2"/>
        <v/>
      </c>
      <c r="I152" s="58" t="str">
        <f t="shared" si="5"/>
        <v/>
      </c>
      <c r="J152" s="58" t="str">
        <f t="shared" si="6"/>
        <v/>
      </c>
      <c r="K152" s="58" t="str">
        <f t="shared" si="7"/>
        <v/>
      </c>
      <c r="L152" s="6" t="str">
        <f t="shared" si="4"/>
        <v/>
      </c>
      <c r="M152" s="60" t="str">
        <f t="shared" si="3"/>
        <v/>
      </c>
    </row>
    <row r="153">
      <c r="A153" s="56" t="str">
        <f t="shared" si="1"/>
        <v/>
      </c>
      <c r="B153" s="57"/>
      <c r="C153" s="7"/>
      <c r="D153" s="7"/>
      <c r="E153" s="7"/>
      <c r="F153" s="7"/>
      <c r="G153" s="7"/>
      <c r="H153" s="58" t="str">
        <f t="shared" si="2"/>
        <v/>
      </c>
      <c r="I153" s="58" t="str">
        <f t="shared" si="5"/>
        <v/>
      </c>
      <c r="J153" s="58" t="str">
        <f t="shared" si="6"/>
        <v/>
      </c>
      <c r="K153" s="58" t="str">
        <f t="shared" si="7"/>
        <v/>
      </c>
      <c r="L153" s="6" t="str">
        <f t="shared" si="4"/>
        <v/>
      </c>
      <c r="M153" s="60" t="str">
        <f t="shared" si="3"/>
        <v/>
      </c>
    </row>
    <row r="154">
      <c r="A154" s="56" t="str">
        <f t="shared" si="1"/>
        <v/>
      </c>
      <c r="B154" s="57"/>
      <c r="C154" s="7"/>
      <c r="D154" s="7"/>
      <c r="E154" s="7"/>
      <c r="F154" s="7"/>
      <c r="G154" s="7"/>
      <c r="H154" s="58" t="str">
        <f t="shared" si="2"/>
        <v/>
      </c>
      <c r="I154" s="58" t="str">
        <f t="shared" si="5"/>
        <v/>
      </c>
      <c r="J154" s="58" t="str">
        <f t="shared" si="6"/>
        <v/>
      </c>
      <c r="K154" s="58" t="str">
        <f t="shared" si="7"/>
        <v/>
      </c>
      <c r="L154" s="6" t="str">
        <f t="shared" si="4"/>
        <v/>
      </c>
      <c r="M154" s="60" t="str">
        <f t="shared" si="3"/>
        <v/>
      </c>
    </row>
    <row r="155">
      <c r="A155" s="56" t="str">
        <f t="shared" si="1"/>
        <v/>
      </c>
      <c r="B155" s="57"/>
      <c r="C155" s="7"/>
      <c r="D155" s="7"/>
      <c r="E155" s="7"/>
      <c r="F155" s="7"/>
      <c r="G155" s="7"/>
      <c r="H155" s="58" t="str">
        <f t="shared" si="2"/>
        <v/>
      </c>
      <c r="I155" s="58" t="str">
        <f t="shared" si="5"/>
        <v/>
      </c>
      <c r="J155" s="58" t="str">
        <f t="shared" si="6"/>
        <v/>
      </c>
      <c r="K155" s="58" t="str">
        <f t="shared" si="7"/>
        <v/>
      </c>
      <c r="L155" s="6" t="str">
        <f t="shared" si="4"/>
        <v/>
      </c>
      <c r="M155" s="60" t="str">
        <f t="shared" si="3"/>
        <v/>
      </c>
    </row>
    <row r="156">
      <c r="A156" s="56" t="str">
        <f t="shared" si="1"/>
        <v/>
      </c>
      <c r="B156" s="57"/>
      <c r="C156" s="7"/>
      <c r="D156" s="7"/>
      <c r="E156" s="7"/>
      <c r="F156" s="7"/>
      <c r="G156" s="7"/>
      <c r="H156" s="58" t="str">
        <f t="shared" si="2"/>
        <v/>
      </c>
      <c r="I156" s="58" t="str">
        <f t="shared" si="5"/>
        <v/>
      </c>
      <c r="J156" s="58" t="str">
        <f t="shared" si="6"/>
        <v/>
      </c>
      <c r="K156" s="58" t="str">
        <f t="shared" si="7"/>
        <v/>
      </c>
      <c r="L156" s="6" t="str">
        <f t="shared" si="4"/>
        <v/>
      </c>
      <c r="M156" s="60" t="str">
        <f t="shared" si="3"/>
        <v/>
      </c>
    </row>
    <row r="157">
      <c r="A157" s="56" t="str">
        <f t="shared" si="1"/>
        <v/>
      </c>
      <c r="B157" s="57"/>
      <c r="C157" s="7"/>
      <c r="D157" s="7"/>
      <c r="E157" s="7"/>
      <c r="F157" s="7"/>
      <c r="G157" s="7"/>
      <c r="H157" s="58" t="str">
        <f t="shared" si="2"/>
        <v/>
      </c>
      <c r="I157" s="58" t="str">
        <f t="shared" si="5"/>
        <v/>
      </c>
      <c r="J157" s="58" t="str">
        <f t="shared" si="6"/>
        <v/>
      </c>
      <c r="K157" s="58" t="str">
        <f t="shared" si="7"/>
        <v/>
      </c>
      <c r="L157" s="6" t="str">
        <f t="shared" si="4"/>
        <v/>
      </c>
      <c r="M157" s="60" t="str">
        <f t="shared" si="3"/>
        <v/>
      </c>
    </row>
    <row r="158">
      <c r="A158" s="56" t="str">
        <f t="shared" si="1"/>
        <v/>
      </c>
      <c r="B158" s="57"/>
      <c r="C158" s="7"/>
      <c r="D158" s="7"/>
      <c r="E158" s="7"/>
      <c r="F158" s="7"/>
      <c r="G158" s="7"/>
      <c r="H158" s="58" t="str">
        <f t="shared" si="2"/>
        <v/>
      </c>
      <c r="I158" s="58" t="str">
        <f t="shared" si="5"/>
        <v/>
      </c>
      <c r="J158" s="58" t="str">
        <f t="shared" si="6"/>
        <v/>
      </c>
      <c r="K158" s="58" t="str">
        <f t="shared" si="7"/>
        <v/>
      </c>
      <c r="L158" s="6" t="str">
        <f t="shared" si="4"/>
        <v/>
      </c>
      <c r="M158" s="60" t="str">
        <f t="shared" si="3"/>
        <v/>
      </c>
    </row>
    <row r="159">
      <c r="A159" s="56" t="str">
        <f t="shared" si="1"/>
        <v/>
      </c>
      <c r="B159" s="57"/>
      <c r="C159" s="7"/>
      <c r="D159" s="7"/>
      <c r="E159" s="7"/>
      <c r="F159" s="7"/>
      <c r="G159" s="7"/>
      <c r="H159" s="58" t="str">
        <f t="shared" si="2"/>
        <v/>
      </c>
      <c r="I159" s="58" t="str">
        <f t="shared" si="5"/>
        <v/>
      </c>
      <c r="J159" s="58" t="str">
        <f t="shared" si="6"/>
        <v/>
      </c>
      <c r="K159" s="58" t="str">
        <f t="shared" si="7"/>
        <v/>
      </c>
      <c r="L159" s="6" t="str">
        <f t="shared" si="4"/>
        <v/>
      </c>
      <c r="M159" s="60" t="str">
        <f t="shared" si="3"/>
        <v/>
      </c>
    </row>
    <row r="160">
      <c r="A160" s="56" t="str">
        <f t="shared" si="1"/>
        <v/>
      </c>
      <c r="B160" s="57"/>
      <c r="C160" s="7"/>
      <c r="D160" s="7"/>
      <c r="E160" s="7"/>
      <c r="F160" s="7"/>
      <c r="G160" s="7"/>
      <c r="H160" s="58" t="str">
        <f t="shared" si="2"/>
        <v/>
      </c>
      <c r="I160" s="58" t="str">
        <f t="shared" si="5"/>
        <v/>
      </c>
      <c r="J160" s="58" t="str">
        <f t="shared" si="6"/>
        <v/>
      </c>
      <c r="K160" s="58" t="str">
        <f t="shared" si="7"/>
        <v/>
      </c>
      <c r="L160" s="6" t="str">
        <f t="shared" si="4"/>
        <v/>
      </c>
      <c r="M160" s="60" t="str">
        <f t="shared" si="3"/>
        <v/>
      </c>
    </row>
    <row r="161">
      <c r="A161" s="56" t="str">
        <f t="shared" si="1"/>
        <v/>
      </c>
      <c r="B161" s="57"/>
      <c r="C161" s="7"/>
      <c r="D161" s="7"/>
      <c r="E161" s="7"/>
      <c r="F161" s="7"/>
      <c r="G161" s="7"/>
      <c r="H161" s="58" t="str">
        <f t="shared" si="2"/>
        <v/>
      </c>
      <c r="I161" s="58" t="str">
        <f t="shared" si="5"/>
        <v/>
      </c>
      <c r="J161" s="58" t="str">
        <f t="shared" si="6"/>
        <v/>
      </c>
      <c r="K161" s="58" t="str">
        <f t="shared" si="7"/>
        <v/>
      </c>
      <c r="L161" s="6" t="str">
        <f t="shared" si="4"/>
        <v/>
      </c>
      <c r="M161" s="60" t="str">
        <f t="shared" si="3"/>
        <v/>
      </c>
    </row>
    <row r="162">
      <c r="A162" s="56" t="str">
        <f t="shared" si="1"/>
        <v/>
      </c>
      <c r="B162" s="57"/>
      <c r="C162" s="7"/>
      <c r="D162" s="7"/>
      <c r="E162" s="7"/>
      <c r="F162" s="7"/>
      <c r="G162" s="7"/>
      <c r="H162" s="58" t="str">
        <f t="shared" si="2"/>
        <v/>
      </c>
      <c r="I162" s="58" t="str">
        <f t="shared" si="5"/>
        <v/>
      </c>
      <c r="J162" s="58" t="str">
        <f t="shared" si="6"/>
        <v/>
      </c>
      <c r="K162" s="58" t="str">
        <f t="shared" si="7"/>
        <v/>
      </c>
      <c r="L162" s="6" t="str">
        <f t="shared" si="4"/>
        <v/>
      </c>
      <c r="M162" s="60" t="str">
        <f t="shared" si="3"/>
        <v/>
      </c>
    </row>
    <row r="163">
      <c r="A163" s="56" t="str">
        <f t="shared" si="1"/>
        <v/>
      </c>
      <c r="B163" s="57"/>
      <c r="C163" s="7"/>
      <c r="D163" s="7"/>
      <c r="E163" s="7"/>
      <c r="F163" s="7"/>
      <c r="G163" s="7"/>
      <c r="H163" s="58" t="str">
        <f t="shared" si="2"/>
        <v/>
      </c>
      <c r="I163" s="58" t="str">
        <f t="shared" si="5"/>
        <v/>
      </c>
      <c r="J163" s="58" t="str">
        <f t="shared" si="6"/>
        <v/>
      </c>
      <c r="K163" s="58" t="str">
        <f t="shared" si="7"/>
        <v/>
      </c>
      <c r="L163" s="6" t="str">
        <f t="shared" si="4"/>
        <v/>
      </c>
      <c r="M163" s="60" t="str">
        <f t="shared" si="3"/>
        <v/>
      </c>
    </row>
    <row r="164">
      <c r="A164" s="56" t="str">
        <f t="shared" si="1"/>
        <v/>
      </c>
      <c r="B164" s="57"/>
      <c r="C164" s="7"/>
      <c r="D164" s="7"/>
      <c r="E164" s="7"/>
      <c r="F164" s="7"/>
      <c r="G164" s="7"/>
      <c r="H164" s="58" t="str">
        <f t="shared" si="2"/>
        <v/>
      </c>
      <c r="I164" s="58" t="str">
        <f t="shared" si="5"/>
        <v/>
      </c>
      <c r="J164" s="58" t="str">
        <f t="shared" si="6"/>
        <v/>
      </c>
      <c r="K164" s="58" t="str">
        <f t="shared" si="7"/>
        <v/>
      </c>
      <c r="L164" s="6" t="str">
        <f t="shared" si="4"/>
        <v/>
      </c>
      <c r="M164" s="60" t="str">
        <f t="shared" si="3"/>
        <v/>
      </c>
    </row>
    <row r="165">
      <c r="A165" s="56" t="str">
        <f t="shared" si="1"/>
        <v/>
      </c>
      <c r="B165" s="57"/>
      <c r="C165" s="7"/>
      <c r="D165" s="7"/>
      <c r="E165" s="7"/>
      <c r="F165" s="7"/>
      <c r="G165" s="7"/>
      <c r="H165" s="58" t="str">
        <f t="shared" si="2"/>
        <v/>
      </c>
      <c r="I165" s="58" t="str">
        <f t="shared" si="5"/>
        <v/>
      </c>
      <c r="J165" s="58" t="str">
        <f t="shared" si="6"/>
        <v/>
      </c>
      <c r="K165" s="58" t="str">
        <f t="shared" si="7"/>
        <v/>
      </c>
      <c r="L165" s="6" t="str">
        <f t="shared" si="4"/>
        <v/>
      </c>
      <c r="M165" s="60" t="str">
        <f t="shared" si="3"/>
        <v/>
      </c>
    </row>
    <row r="166">
      <c r="A166" s="56" t="str">
        <f t="shared" si="1"/>
        <v/>
      </c>
      <c r="B166" s="57"/>
      <c r="C166" s="7"/>
      <c r="D166" s="7"/>
      <c r="E166" s="7"/>
      <c r="F166" s="7"/>
      <c r="G166" s="7"/>
      <c r="H166" s="58" t="str">
        <f t="shared" si="2"/>
        <v/>
      </c>
      <c r="I166" s="58" t="str">
        <f t="shared" si="5"/>
        <v/>
      </c>
      <c r="J166" s="58" t="str">
        <f t="shared" si="6"/>
        <v/>
      </c>
      <c r="K166" s="58" t="str">
        <f t="shared" si="7"/>
        <v/>
      </c>
      <c r="L166" s="6" t="str">
        <f t="shared" si="4"/>
        <v/>
      </c>
      <c r="M166" s="60" t="str">
        <f t="shared" si="3"/>
        <v/>
      </c>
    </row>
    <row r="167">
      <c r="A167" s="56" t="str">
        <f t="shared" si="1"/>
        <v/>
      </c>
      <c r="B167" s="57"/>
      <c r="C167" s="7"/>
      <c r="D167" s="7"/>
      <c r="E167" s="7"/>
      <c r="F167" s="7"/>
      <c r="G167" s="7"/>
      <c r="H167" s="58" t="str">
        <f t="shared" si="2"/>
        <v/>
      </c>
      <c r="I167" s="58" t="str">
        <f t="shared" si="5"/>
        <v/>
      </c>
      <c r="J167" s="58" t="str">
        <f t="shared" si="6"/>
        <v/>
      </c>
      <c r="K167" s="58" t="str">
        <f t="shared" si="7"/>
        <v/>
      </c>
      <c r="L167" s="6" t="str">
        <f t="shared" si="4"/>
        <v/>
      </c>
      <c r="M167" s="60" t="str">
        <f t="shared" si="3"/>
        <v/>
      </c>
    </row>
    <row r="168">
      <c r="A168" s="56" t="str">
        <f t="shared" si="1"/>
        <v/>
      </c>
      <c r="B168" s="57"/>
      <c r="C168" s="7"/>
      <c r="D168" s="7"/>
      <c r="E168" s="7"/>
      <c r="F168" s="7"/>
      <c r="G168" s="7"/>
      <c r="H168" s="58" t="str">
        <f t="shared" si="2"/>
        <v/>
      </c>
      <c r="I168" s="58" t="str">
        <f t="shared" si="5"/>
        <v/>
      </c>
      <c r="J168" s="58" t="str">
        <f t="shared" si="6"/>
        <v/>
      </c>
      <c r="K168" s="58" t="str">
        <f t="shared" si="7"/>
        <v/>
      </c>
      <c r="L168" s="6" t="str">
        <f t="shared" si="4"/>
        <v/>
      </c>
      <c r="M168" s="60" t="str">
        <f t="shared" si="3"/>
        <v/>
      </c>
    </row>
    <row r="169">
      <c r="A169" s="56" t="str">
        <f t="shared" si="1"/>
        <v/>
      </c>
      <c r="B169" s="57"/>
      <c r="C169" s="7"/>
      <c r="D169" s="7"/>
      <c r="E169" s="7"/>
      <c r="F169" s="7"/>
      <c r="G169" s="7"/>
      <c r="H169" s="58" t="str">
        <f t="shared" si="2"/>
        <v/>
      </c>
      <c r="I169" s="58" t="str">
        <f t="shared" si="5"/>
        <v/>
      </c>
      <c r="J169" s="58" t="str">
        <f t="shared" si="6"/>
        <v/>
      </c>
      <c r="K169" s="58" t="str">
        <f t="shared" si="7"/>
        <v/>
      </c>
      <c r="L169" s="6" t="str">
        <f t="shared" si="4"/>
        <v/>
      </c>
      <c r="M169" s="60" t="str">
        <f t="shared" si="3"/>
        <v/>
      </c>
    </row>
    <row r="170">
      <c r="A170" s="56" t="str">
        <f t="shared" si="1"/>
        <v/>
      </c>
      <c r="B170" s="57"/>
      <c r="C170" s="7"/>
      <c r="D170" s="7"/>
      <c r="E170" s="7"/>
      <c r="F170" s="7"/>
      <c r="G170" s="7"/>
      <c r="H170" s="58" t="str">
        <f t="shared" si="2"/>
        <v/>
      </c>
      <c r="I170" s="58" t="str">
        <f t="shared" si="5"/>
        <v/>
      </c>
      <c r="J170" s="58" t="str">
        <f t="shared" si="6"/>
        <v/>
      </c>
      <c r="K170" s="58" t="str">
        <f t="shared" si="7"/>
        <v/>
      </c>
      <c r="L170" s="6" t="str">
        <f t="shared" si="4"/>
        <v/>
      </c>
      <c r="M170" s="60" t="str">
        <f t="shared" si="3"/>
        <v/>
      </c>
    </row>
    <row r="171">
      <c r="A171" s="56" t="str">
        <f t="shared" si="1"/>
        <v/>
      </c>
      <c r="B171" s="57"/>
      <c r="C171" s="7"/>
      <c r="D171" s="7"/>
      <c r="E171" s="7"/>
      <c r="F171" s="7"/>
      <c r="G171" s="7"/>
      <c r="H171" s="58" t="str">
        <f t="shared" si="2"/>
        <v/>
      </c>
      <c r="I171" s="58" t="str">
        <f t="shared" si="5"/>
        <v/>
      </c>
      <c r="J171" s="58" t="str">
        <f t="shared" si="6"/>
        <v/>
      </c>
      <c r="K171" s="58" t="str">
        <f t="shared" si="7"/>
        <v/>
      </c>
      <c r="L171" s="6" t="str">
        <f t="shared" si="4"/>
        <v/>
      </c>
      <c r="M171" s="60" t="str">
        <f t="shared" si="3"/>
        <v/>
      </c>
    </row>
    <row r="172">
      <c r="A172" s="56" t="str">
        <f t="shared" si="1"/>
        <v/>
      </c>
      <c r="B172" s="57"/>
      <c r="C172" s="7"/>
      <c r="D172" s="7"/>
      <c r="E172" s="7"/>
      <c r="F172" s="7"/>
      <c r="G172" s="7"/>
      <c r="H172" s="58" t="str">
        <f t="shared" si="2"/>
        <v/>
      </c>
      <c r="I172" s="58" t="str">
        <f t="shared" si="5"/>
        <v/>
      </c>
      <c r="J172" s="58" t="str">
        <f t="shared" si="6"/>
        <v/>
      </c>
      <c r="K172" s="58" t="str">
        <f t="shared" si="7"/>
        <v/>
      </c>
      <c r="L172" s="6" t="str">
        <f t="shared" si="4"/>
        <v/>
      </c>
      <c r="M172" s="60" t="str">
        <f t="shared" si="3"/>
        <v/>
      </c>
    </row>
    <row r="173">
      <c r="A173" s="56" t="str">
        <f t="shared" si="1"/>
        <v/>
      </c>
      <c r="B173" s="57"/>
      <c r="C173" s="7"/>
      <c r="D173" s="7"/>
      <c r="E173" s="7"/>
      <c r="F173" s="7"/>
      <c r="G173" s="7"/>
      <c r="H173" s="58" t="str">
        <f t="shared" si="2"/>
        <v/>
      </c>
      <c r="I173" s="58" t="str">
        <f t="shared" si="5"/>
        <v/>
      </c>
      <c r="J173" s="58" t="str">
        <f t="shared" si="6"/>
        <v/>
      </c>
      <c r="K173" s="58" t="str">
        <f t="shared" si="7"/>
        <v/>
      </c>
      <c r="L173" s="6" t="str">
        <f t="shared" si="4"/>
        <v/>
      </c>
      <c r="M173" s="60" t="str">
        <f t="shared" si="3"/>
        <v/>
      </c>
    </row>
    <row r="174">
      <c r="A174" s="56" t="str">
        <f t="shared" si="1"/>
        <v/>
      </c>
      <c r="B174" s="57"/>
      <c r="C174" s="7"/>
      <c r="D174" s="7"/>
      <c r="E174" s="7"/>
      <c r="F174" s="7"/>
      <c r="G174" s="7"/>
      <c r="H174" s="58" t="str">
        <f t="shared" si="2"/>
        <v/>
      </c>
      <c r="I174" s="58" t="str">
        <f t="shared" si="5"/>
        <v/>
      </c>
      <c r="J174" s="58" t="str">
        <f t="shared" si="6"/>
        <v/>
      </c>
      <c r="K174" s="58" t="str">
        <f t="shared" si="7"/>
        <v/>
      </c>
      <c r="L174" s="6" t="str">
        <f t="shared" si="4"/>
        <v/>
      </c>
      <c r="M174" s="60" t="str">
        <f t="shared" si="3"/>
        <v/>
      </c>
    </row>
    <row r="175">
      <c r="A175" s="56" t="str">
        <f t="shared" si="1"/>
        <v/>
      </c>
      <c r="B175" s="57"/>
      <c r="C175" s="7"/>
      <c r="D175" s="7"/>
      <c r="E175" s="7"/>
      <c r="F175" s="7"/>
      <c r="G175" s="7"/>
      <c r="H175" s="58" t="str">
        <f t="shared" si="2"/>
        <v/>
      </c>
      <c r="I175" s="58" t="str">
        <f t="shared" si="5"/>
        <v/>
      </c>
      <c r="J175" s="58" t="str">
        <f t="shared" si="6"/>
        <v/>
      </c>
      <c r="K175" s="58" t="str">
        <f t="shared" si="7"/>
        <v/>
      </c>
      <c r="L175" s="6" t="str">
        <f t="shared" si="4"/>
        <v/>
      </c>
      <c r="M175" s="60" t="str">
        <f t="shared" si="3"/>
        <v/>
      </c>
    </row>
    <row r="176">
      <c r="A176" s="56" t="str">
        <f t="shared" si="1"/>
        <v/>
      </c>
      <c r="B176" s="57"/>
      <c r="C176" s="7"/>
      <c r="D176" s="7"/>
      <c r="E176" s="7"/>
      <c r="F176" s="7"/>
      <c r="G176" s="7"/>
      <c r="H176" s="58" t="str">
        <f t="shared" si="2"/>
        <v/>
      </c>
      <c r="I176" s="58" t="str">
        <f t="shared" si="5"/>
        <v/>
      </c>
      <c r="J176" s="58" t="str">
        <f t="shared" si="6"/>
        <v/>
      </c>
      <c r="K176" s="58" t="str">
        <f t="shared" si="7"/>
        <v/>
      </c>
      <c r="L176" s="6" t="str">
        <f t="shared" si="4"/>
        <v/>
      </c>
      <c r="M176" s="60" t="str">
        <f t="shared" si="3"/>
        <v/>
      </c>
    </row>
    <row r="177">
      <c r="A177" s="56" t="str">
        <f t="shared" si="1"/>
        <v/>
      </c>
      <c r="B177" s="57"/>
      <c r="C177" s="7"/>
      <c r="D177" s="7"/>
      <c r="E177" s="7"/>
      <c r="F177" s="7"/>
      <c r="G177" s="7"/>
      <c r="H177" s="58" t="str">
        <f t="shared" si="2"/>
        <v/>
      </c>
      <c r="I177" s="58" t="str">
        <f t="shared" si="5"/>
        <v/>
      </c>
      <c r="J177" s="58" t="str">
        <f t="shared" si="6"/>
        <v/>
      </c>
      <c r="K177" s="58" t="str">
        <f t="shared" si="7"/>
        <v/>
      </c>
      <c r="L177" s="6" t="str">
        <f t="shared" si="4"/>
        <v/>
      </c>
      <c r="M177" s="60" t="str">
        <f t="shared" si="3"/>
        <v/>
      </c>
    </row>
    <row r="178">
      <c r="A178" s="56" t="str">
        <f t="shared" si="1"/>
        <v/>
      </c>
      <c r="B178" s="57"/>
      <c r="C178" s="7"/>
      <c r="D178" s="7"/>
      <c r="E178" s="7"/>
      <c r="F178" s="7"/>
      <c r="G178" s="7"/>
      <c r="H178" s="58" t="str">
        <f t="shared" si="2"/>
        <v/>
      </c>
      <c r="I178" s="58" t="str">
        <f t="shared" si="5"/>
        <v/>
      </c>
      <c r="J178" s="58" t="str">
        <f t="shared" si="6"/>
        <v/>
      </c>
      <c r="K178" s="58" t="str">
        <f t="shared" si="7"/>
        <v/>
      </c>
      <c r="L178" s="6" t="str">
        <f t="shared" si="4"/>
        <v/>
      </c>
      <c r="M178" s="60" t="str">
        <f t="shared" si="3"/>
        <v/>
      </c>
    </row>
    <row r="179">
      <c r="A179" s="56" t="str">
        <f t="shared" si="1"/>
        <v/>
      </c>
      <c r="B179" s="57"/>
      <c r="C179" s="7"/>
      <c r="D179" s="7"/>
      <c r="E179" s="7"/>
      <c r="F179" s="7"/>
      <c r="G179" s="7"/>
      <c r="H179" s="58" t="str">
        <f t="shared" si="2"/>
        <v/>
      </c>
      <c r="I179" s="58" t="str">
        <f t="shared" si="5"/>
        <v/>
      </c>
      <c r="J179" s="58" t="str">
        <f t="shared" si="6"/>
        <v/>
      </c>
      <c r="K179" s="58" t="str">
        <f t="shared" si="7"/>
        <v/>
      </c>
      <c r="L179" s="6" t="str">
        <f t="shared" si="4"/>
        <v/>
      </c>
      <c r="M179" s="60" t="str">
        <f t="shared" si="3"/>
        <v/>
      </c>
    </row>
    <row r="180">
      <c r="A180" s="56" t="str">
        <f t="shared" si="1"/>
        <v/>
      </c>
      <c r="B180" s="57"/>
      <c r="C180" s="7"/>
      <c r="D180" s="7"/>
      <c r="E180" s="7"/>
      <c r="F180" s="7"/>
      <c r="G180" s="7"/>
      <c r="H180" s="58" t="str">
        <f t="shared" si="2"/>
        <v/>
      </c>
      <c r="I180" s="58" t="str">
        <f t="shared" si="5"/>
        <v/>
      </c>
      <c r="J180" s="58" t="str">
        <f t="shared" si="6"/>
        <v/>
      </c>
      <c r="K180" s="58" t="str">
        <f t="shared" si="7"/>
        <v/>
      </c>
      <c r="L180" s="6" t="str">
        <f t="shared" si="4"/>
        <v/>
      </c>
      <c r="M180" s="60" t="str">
        <f t="shared" si="3"/>
        <v/>
      </c>
    </row>
    <row r="181">
      <c r="A181" s="56" t="str">
        <f t="shared" si="1"/>
        <v/>
      </c>
      <c r="B181" s="57"/>
      <c r="C181" s="7"/>
      <c r="D181" s="7"/>
      <c r="E181" s="7"/>
      <c r="F181" s="7"/>
      <c r="G181" s="7"/>
      <c r="H181" s="58" t="str">
        <f t="shared" si="2"/>
        <v/>
      </c>
      <c r="I181" s="58" t="str">
        <f t="shared" si="5"/>
        <v/>
      </c>
      <c r="J181" s="58" t="str">
        <f t="shared" si="6"/>
        <v/>
      </c>
      <c r="K181" s="58" t="str">
        <f t="shared" si="7"/>
        <v/>
      </c>
      <c r="L181" s="6" t="str">
        <f t="shared" si="4"/>
        <v/>
      </c>
      <c r="M181" s="60" t="str">
        <f t="shared" si="3"/>
        <v/>
      </c>
    </row>
    <row r="182">
      <c r="A182" s="56" t="str">
        <f t="shared" si="1"/>
        <v/>
      </c>
      <c r="B182" s="57"/>
      <c r="C182" s="7"/>
      <c r="D182" s="7"/>
      <c r="E182" s="7"/>
      <c r="F182" s="7"/>
      <c r="G182" s="7"/>
      <c r="H182" s="58" t="str">
        <f t="shared" si="2"/>
        <v/>
      </c>
      <c r="I182" s="58" t="str">
        <f t="shared" si="5"/>
        <v/>
      </c>
      <c r="J182" s="58" t="str">
        <f t="shared" si="6"/>
        <v/>
      </c>
      <c r="K182" s="58" t="str">
        <f t="shared" si="7"/>
        <v/>
      </c>
      <c r="L182" s="6" t="str">
        <f t="shared" si="4"/>
        <v/>
      </c>
      <c r="M182" s="60" t="str">
        <f t="shared" si="3"/>
        <v/>
      </c>
    </row>
    <row r="183">
      <c r="A183" s="56" t="str">
        <f t="shared" si="1"/>
        <v/>
      </c>
      <c r="B183" s="57"/>
      <c r="C183" s="7"/>
      <c r="D183" s="7"/>
      <c r="E183" s="7"/>
      <c r="F183" s="7"/>
      <c r="G183" s="7"/>
      <c r="H183" s="58" t="str">
        <f t="shared" si="2"/>
        <v/>
      </c>
      <c r="I183" s="58" t="str">
        <f t="shared" si="5"/>
        <v/>
      </c>
      <c r="J183" s="58" t="str">
        <f t="shared" si="6"/>
        <v/>
      </c>
      <c r="K183" s="58" t="str">
        <f t="shared" si="7"/>
        <v/>
      </c>
      <c r="L183" s="6" t="str">
        <f t="shared" si="4"/>
        <v/>
      </c>
      <c r="M183" s="60" t="str">
        <f t="shared" si="3"/>
        <v/>
      </c>
    </row>
    <row r="184">
      <c r="A184" s="56" t="str">
        <f t="shared" si="1"/>
        <v/>
      </c>
      <c r="B184" s="57"/>
      <c r="C184" s="7"/>
      <c r="D184" s="7"/>
      <c r="E184" s="7"/>
      <c r="F184" s="7"/>
      <c r="G184" s="7"/>
      <c r="H184" s="58" t="str">
        <f t="shared" si="2"/>
        <v/>
      </c>
      <c r="I184" s="58" t="str">
        <f t="shared" si="5"/>
        <v/>
      </c>
      <c r="J184" s="58" t="str">
        <f t="shared" si="6"/>
        <v/>
      </c>
      <c r="K184" s="58" t="str">
        <f t="shared" si="7"/>
        <v/>
      </c>
      <c r="L184" s="6" t="str">
        <f t="shared" si="4"/>
        <v/>
      </c>
      <c r="M184" s="60" t="str">
        <f t="shared" si="3"/>
        <v/>
      </c>
    </row>
    <row r="185">
      <c r="A185" s="56" t="str">
        <f t="shared" si="1"/>
        <v/>
      </c>
      <c r="B185" s="57"/>
      <c r="C185" s="7"/>
      <c r="D185" s="7"/>
      <c r="E185" s="7"/>
      <c r="F185" s="7"/>
      <c r="G185" s="7"/>
      <c r="H185" s="58" t="str">
        <f t="shared" si="2"/>
        <v/>
      </c>
      <c r="I185" s="58" t="str">
        <f t="shared" si="5"/>
        <v/>
      </c>
      <c r="J185" s="58" t="str">
        <f t="shared" si="6"/>
        <v/>
      </c>
      <c r="K185" s="58" t="str">
        <f t="shared" si="7"/>
        <v/>
      </c>
      <c r="L185" s="6" t="str">
        <f t="shared" si="4"/>
        <v/>
      </c>
      <c r="M185" s="60" t="str">
        <f t="shared" si="3"/>
        <v/>
      </c>
    </row>
    <row r="186">
      <c r="A186" s="56" t="str">
        <f t="shared" si="1"/>
        <v/>
      </c>
      <c r="B186" s="57"/>
      <c r="C186" s="7"/>
      <c r="D186" s="7"/>
      <c r="E186" s="7"/>
      <c r="F186" s="7"/>
      <c r="G186" s="7"/>
      <c r="H186" s="58" t="str">
        <f t="shared" si="2"/>
        <v/>
      </c>
      <c r="I186" s="58" t="str">
        <f t="shared" si="5"/>
        <v/>
      </c>
      <c r="J186" s="58" t="str">
        <f t="shared" si="6"/>
        <v/>
      </c>
      <c r="K186" s="58" t="str">
        <f t="shared" si="7"/>
        <v/>
      </c>
      <c r="L186" s="6" t="str">
        <f t="shared" si="4"/>
        <v/>
      </c>
      <c r="M186" s="60" t="str">
        <f t="shared" si="3"/>
        <v/>
      </c>
    </row>
    <row r="187">
      <c r="A187" s="56" t="str">
        <f t="shared" si="1"/>
        <v/>
      </c>
      <c r="B187" s="57"/>
      <c r="C187" s="7"/>
      <c r="D187" s="7"/>
      <c r="E187" s="7"/>
      <c r="F187" s="7"/>
      <c r="G187" s="7"/>
      <c r="H187" s="58" t="str">
        <f t="shared" si="2"/>
        <v/>
      </c>
      <c r="I187" s="58" t="str">
        <f t="shared" si="5"/>
        <v/>
      </c>
      <c r="J187" s="58" t="str">
        <f t="shared" si="6"/>
        <v/>
      </c>
      <c r="K187" s="58" t="str">
        <f t="shared" si="7"/>
        <v/>
      </c>
      <c r="L187" s="6" t="str">
        <f t="shared" si="4"/>
        <v/>
      </c>
      <c r="M187" s="60" t="str">
        <f t="shared" si="3"/>
        <v/>
      </c>
    </row>
    <row r="188">
      <c r="A188" s="56" t="str">
        <f t="shared" si="1"/>
        <v/>
      </c>
      <c r="B188" s="57"/>
      <c r="C188" s="7"/>
      <c r="D188" s="7"/>
      <c r="E188" s="7"/>
      <c r="F188" s="7"/>
      <c r="G188" s="7"/>
      <c r="H188" s="58" t="str">
        <f t="shared" si="2"/>
        <v/>
      </c>
      <c r="I188" s="58" t="str">
        <f t="shared" si="5"/>
        <v/>
      </c>
      <c r="J188" s="58" t="str">
        <f t="shared" si="6"/>
        <v/>
      </c>
      <c r="K188" s="58" t="str">
        <f t="shared" si="7"/>
        <v/>
      </c>
      <c r="L188" s="6" t="str">
        <f t="shared" si="4"/>
        <v/>
      </c>
      <c r="M188" s="60" t="str">
        <f t="shared" si="3"/>
        <v/>
      </c>
    </row>
    <row r="189">
      <c r="A189" s="56" t="str">
        <f t="shared" si="1"/>
        <v/>
      </c>
      <c r="B189" s="57"/>
      <c r="C189" s="7"/>
      <c r="D189" s="7"/>
      <c r="E189" s="7"/>
      <c r="F189" s="7"/>
      <c r="G189" s="7"/>
      <c r="H189" s="58" t="str">
        <f t="shared" si="2"/>
        <v/>
      </c>
      <c r="I189" s="58" t="str">
        <f t="shared" si="5"/>
        <v/>
      </c>
      <c r="J189" s="58" t="str">
        <f t="shared" si="6"/>
        <v/>
      </c>
      <c r="K189" s="58" t="str">
        <f t="shared" si="7"/>
        <v/>
      </c>
      <c r="L189" s="6" t="str">
        <f t="shared" si="4"/>
        <v/>
      </c>
      <c r="M189" s="60" t="str">
        <f t="shared" si="3"/>
        <v/>
      </c>
    </row>
    <row r="190">
      <c r="A190" s="56" t="str">
        <f t="shared" si="1"/>
        <v/>
      </c>
      <c r="B190" s="57"/>
      <c r="C190" s="7"/>
      <c r="D190" s="7"/>
      <c r="E190" s="7"/>
      <c r="F190" s="7"/>
      <c r="G190" s="7"/>
      <c r="H190" s="58" t="str">
        <f t="shared" si="2"/>
        <v/>
      </c>
      <c r="I190" s="58" t="str">
        <f t="shared" si="5"/>
        <v/>
      </c>
      <c r="J190" s="58" t="str">
        <f t="shared" si="6"/>
        <v/>
      </c>
      <c r="K190" s="58" t="str">
        <f t="shared" si="7"/>
        <v/>
      </c>
      <c r="L190" s="6" t="str">
        <f t="shared" si="4"/>
        <v/>
      </c>
      <c r="M190" s="60" t="str">
        <f t="shared" si="3"/>
        <v/>
      </c>
    </row>
    <row r="191">
      <c r="A191" s="56" t="str">
        <f t="shared" si="1"/>
        <v/>
      </c>
      <c r="B191" s="57"/>
      <c r="C191" s="7"/>
      <c r="D191" s="7"/>
      <c r="E191" s="7"/>
      <c r="F191" s="7"/>
      <c r="G191" s="7"/>
      <c r="H191" s="58" t="str">
        <f t="shared" si="2"/>
        <v/>
      </c>
      <c r="I191" s="58" t="str">
        <f t="shared" si="5"/>
        <v/>
      </c>
      <c r="J191" s="58" t="str">
        <f t="shared" si="6"/>
        <v/>
      </c>
      <c r="K191" s="58" t="str">
        <f t="shared" si="7"/>
        <v/>
      </c>
      <c r="L191" s="6" t="str">
        <f t="shared" si="4"/>
        <v/>
      </c>
      <c r="M191" s="60" t="str">
        <f t="shared" si="3"/>
        <v/>
      </c>
    </row>
    <row r="192">
      <c r="A192" s="56" t="str">
        <f t="shared" si="1"/>
        <v/>
      </c>
      <c r="B192" s="57"/>
      <c r="C192" s="7"/>
      <c r="D192" s="7"/>
      <c r="E192" s="7"/>
      <c r="F192" s="7"/>
      <c r="G192" s="7"/>
      <c r="H192" s="58" t="str">
        <f t="shared" si="2"/>
        <v/>
      </c>
      <c r="I192" s="58" t="str">
        <f t="shared" si="5"/>
        <v/>
      </c>
      <c r="J192" s="58" t="str">
        <f t="shared" si="6"/>
        <v/>
      </c>
      <c r="K192" s="58" t="str">
        <f t="shared" si="7"/>
        <v/>
      </c>
      <c r="L192" s="6" t="str">
        <f t="shared" si="4"/>
        <v/>
      </c>
      <c r="M192" s="60" t="str">
        <f t="shared" si="3"/>
        <v/>
      </c>
    </row>
    <row r="193">
      <c r="A193" s="56" t="str">
        <f t="shared" si="1"/>
        <v/>
      </c>
      <c r="B193" s="57"/>
      <c r="C193" s="7"/>
      <c r="D193" s="7"/>
      <c r="E193" s="7"/>
      <c r="F193" s="7"/>
      <c r="G193" s="7"/>
      <c r="H193" s="58" t="str">
        <f t="shared" si="2"/>
        <v/>
      </c>
      <c r="I193" s="58" t="str">
        <f t="shared" si="5"/>
        <v/>
      </c>
      <c r="J193" s="58" t="str">
        <f t="shared" si="6"/>
        <v/>
      </c>
      <c r="K193" s="58" t="str">
        <f t="shared" si="7"/>
        <v/>
      </c>
      <c r="L193" s="6" t="str">
        <f t="shared" si="4"/>
        <v/>
      </c>
      <c r="M193" s="60" t="str">
        <f t="shared" si="3"/>
        <v/>
      </c>
    </row>
    <row r="194">
      <c r="A194" s="56" t="str">
        <f t="shared" si="1"/>
        <v/>
      </c>
      <c r="B194" s="57"/>
      <c r="C194" s="7"/>
      <c r="D194" s="7"/>
      <c r="E194" s="7"/>
      <c r="F194" s="7"/>
      <c r="G194" s="7"/>
      <c r="H194" s="58" t="str">
        <f t="shared" si="2"/>
        <v/>
      </c>
      <c r="I194" s="58" t="str">
        <f t="shared" si="5"/>
        <v/>
      </c>
      <c r="J194" s="58" t="str">
        <f t="shared" si="6"/>
        <v/>
      </c>
      <c r="K194" s="58" t="str">
        <f t="shared" si="7"/>
        <v/>
      </c>
      <c r="L194" s="6" t="str">
        <f t="shared" si="4"/>
        <v/>
      </c>
      <c r="M194" s="60" t="str">
        <f t="shared" si="3"/>
        <v/>
      </c>
    </row>
    <row r="195">
      <c r="A195" s="56" t="str">
        <f t="shared" si="1"/>
        <v/>
      </c>
      <c r="B195" s="57"/>
      <c r="C195" s="7"/>
      <c r="D195" s="7"/>
      <c r="E195" s="7"/>
      <c r="F195" s="7"/>
      <c r="G195" s="7"/>
      <c r="H195" s="58" t="str">
        <f t="shared" si="2"/>
        <v/>
      </c>
      <c r="I195" s="58" t="str">
        <f t="shared" si="5"/>
        <v/>
      </c>
      <c r="J195" s="58" t="str">
        <f t="shared" si="6"/>
        <v/>
      </c>
      <c r="K195" s="58" t="str">
        <f t="shared" si="7"/>
        <v/>
      </c>
      <c r="L195" s="6" t="str">
        <f t="shared" si="4"/>
        <v/>
      </c>
      <c r="M195" s="60" t="str">
        <f t="shared" si="3"/>
        <v/>
      </c>
    </row>
    <row r="196">
      <c r="A196" s="56" t="str">
        <f t="shared" si="1"/>
        <v/>
      </c>
      <c r="B196" s="57"/>
      <c r="C196" s="7"/>
      <c r="D196" s="7"/>
      <c r="E196" s="7"/>
      <c r="F196" s="7"/>
      <c r="G196" s="7"/>
      <c r="H196" s="58" t="str">
        <f t="shared" si="2"/>
        <v/>
      </c>
      <c r="I196" s="58" t="str">
        <f t="shared" si="5"/>
        <v/>
      </c>
      <c r="J196" s="58" t="str">
        <f t="shared" si="6"/>
        <v/>
      </c>
      <c r="K196" s="58" t="str">
        <f t="shared" si="7"/>
        <v/>
      </c>
      <c r="L196" s="6" t="str">
        <f t="shared" si="4"/>
        <v/>
      </c>
      <c r="M196" s="60" t="str">
        <f t="shared" si="3"/>
        <v/>
      </c>
    </row>
    <row r="197">
      <c r="A197" s="56" t="str">
        <f t="shared" si="1"/>
        <v/>
      </c>
      <c r="B197" s="57"/>
      <c r="C197" s="7"/>
      <c r="D197" s="7"/>
      <c r="E197" s="7"/>
      <c r="F197" s="7"/>
      <c r="G197" s="7"/>
      <c r="H197" s="58" t="str">
        <f t="shared" si="2"/>
        <v/>
      </c>
      <c r="I197" s="58" t="str">
        <f t="shared" si="5"/>
        <v/>
      </c>
      <c r="J197" s="58" t="str">
        <f t="shared" si="6"/>
        <v/>
      </c>
      <c r="K197" s="58" t="str">
        <f t="shared" si="7"/>
        <v/>
      </c>
      <c r="L197" s="6" t="str">
        <f t="shared" si="4"/>
        <v/>
      </c>
      <c r="M197" s="60" t="str">
        <f t="shared" si="3"/>
        <v/>
      </c>
    </row>
    <row r="198">
      <c r="A198" s="56" t="str">
        <f t="shared" si="1"/>
        <v/>
      </c>
      <c r="B198" s="57"/>
      <c r="C198" s="7"/>
      <c r="D198" s="7"/>
      <c r="E198" s="7"/>
      <c r="F198" s="7"/>
      <c r="G198" s="7"/>
      <c r="H198" s="58" t="str">
        <f t="shared" si="2"/>
        <v/>
      </c>
      <c r="I198" s="58" t="str">
        <f t="shared" si="5"/>
        <v/>
      </c>
      <c r="J198" s="58" t="str">
        <f t="shared" si="6"/>
        <v/>
      </c>
      <c r="K198" s="58" t="str">
        <f t="shared" si="7"/>
        <v/>
      </c>
      <c r="L198" s="6" t="str">
        <f t="shared" si="4"/>
        <v/>
      </c>
      <c r="M198" s="60" t="str">
        <f t="shared" si="3"/>
        <v/>
      </c>
    </row>
    <row r="199">
      <c r="A199" s="56" t="str">
        <f t="shared" si="1"/>
        <v/>
      </c>
      <c r="B199" s="57"/>
      <c r="C199" s="7"/>
      <c r="D199" s="7"/>
      <c r="E199" s="7"/>
      <c r="F199" s="7"/>
      <c r="G199" s="7"/>
      <c r="H199" s="58" t="str">
        <f t="shared" si="2"/>
        <v/>
      </c>
      <c r="I199" s="58" t="str">
        <f t="shared" si="5"/>
        <v/>
      </c>
      <c r="J199" s="58" t="str">
        <f t="shared" si="6"/>
        <v/>
      </c>
      <c r="K199" s="58" t="str">
        <f t="shared" si="7"/>
        <v/>
      </c>
      <c r="L199" s="6" t="str">
        <f t="shared" si="4"/>
        <v/>
      </c>
      <c r="M199" s="60" t="str">
        <f t="shared" si="3"/>
        <v/>
      </c>
    </row>
    <row r="200">
      <c r="A200" s="56" t="str">
        <f t="shared" si="1"/>
        <v/>
      </c>
      <c r="B200" s="57"/>
      <c r="C200" s="7"/>
      <c r="D200" s="7"/>
      <c r="E200" s="7"/>
      <c r="F200" s="7"/>
      <c r="G200" s="7"/>
      <c r="H200" s="58" t="str">
        <f t="shared" si="2"/>
        <v/>
      </c>
      <c r="I200" s="58" t="str">
        <f t="shared" si="5"/>
        <v/>
      </c>
      <c r="J200" s="58" t="str">
        <f t="shared" si="6"/>
        <v/>
      </c>
      <c r="K200" s="58" t="str">
        <f t="shared" si="7"/>
        <v/>
      </c>
      <c r="L200" s="6" t="str">
        <f t="shared" si="4"/>
        <v/>
      </c>
      <c r="M200" s="60" t="str">
        <f t="shared" si="3"/>
        <v/>
      </c>
    </row>
    <row r="201">
      <c r="A201" s="56" t="str">
        <f t="shared" si="1"/>
        <v/>
      </c>
      <c r="B201" s="57"/>
      <c r="C201" s="7"/>
      <c r="D201" s="7"/>
      <c r="E201" s="7"/>
      <c r="F201" s="7"/>
      <c r="G201" s="7"/>
      <c r="H201" s="58" t="str">
        <f t="shared" si="2"/>
        <v/>
      </c>
      <c r="I201" s="58" t="str">
        <f t="shared" si="5"/>
        <v/>
      </c>
      <c r="J201" s="58" t="str">
        <f t="shared" si="6"/>
        <v/>
      </c>
      <c r="K201" s="58" t="str">
        <f t="shared" si="7"/>
        <v/>
      </c>
      <c r="L201" s="6" t="str">
        <f t="shared" si="4"/>
        <v/>
      </c>
      <c r="M201" s="60" t="str">
        <f t="shared" si="3"/>
        <v/>
      </c>
    </row>
    <row r="202">
      <c r="A202" s="56" t="str">
        <f t="shared" si="1"/>
        <v/>
      </c>
      <c r="B202" s="57"/>
      <c r="C202" s="7"/>
      <c r="D202" s="7"/>
      <c r="E202" s="7"/>
      <c r="F202" s="7"/>
      <c r="G202" s="7"/>
      <c r="H202" s="58" t="str">
        <f t="shared" si="2"/>
        <v/>
      </c>
      <c r="I202" s="58" t="str">
        <f t="shared" si="5"/>
        <v/>
      </c>
      <c r="J202" s="58" t="str">
        <f t="shared" si="6"/>
        <v/>
      </c>
      <c r="K202" s="58" t="str">
        <f t="shared" si="7"/>
        <v/>
      </c>
      <c r="L202" s="6" t="str">
        <f t="shared" si="4"/>
        <v/>
      </c>
      <c r="M202" s="60" t="str">
        <f t="shared" si="3"/>
        <v/>
      </c>
    </row>
    <row r="203">
      <c r="A203" s="56" t="str">
        <f t="shared" si="1"/>
        <v/>
      </c>
      <c r="B203" s="57"/>
      <c r="C203" s="7"/>
      <c r="D203" s="7"/>
      <c r="E203" s="7"/>
      <c r="F203" s="7"/>
      <c r="G203" s="7"/>
      <c r="H203" s="58" t="str">
        <f t="shared" si="2"/>
        <v/>
      </c>
      <c r="I203" s="58" t="str">
        <f t="shared" si="5"/>
        <v/>
      </c>
      <c r="J203" s="58" t="str">
        <f t="shared" si="6"/>
        <v/>
      </c>
      <c r="K203" s="58" t="str">
        <f t="shared" si="7"/>
        <v/>
      </c>
      <c r="L203" s="6" t="str">
        <f t="shared" si="4"/>
        <v/>
      </c>
      <c r="M203" s="60" t="str">
        <f t="shared" si="3"/>
        <v/>
      </c>
    </row>
    <row r="204">
      <c r="A204" s="56" t="str">
        <f t="shared" si="1"/>
        <v/>
      </c>
      <c r="B204" s="57"/>
      <c r="C204" s="7"/>
      <c r="D204" s="7"/>
      <c r="E204" s="7"/>
      <c r="F204" s="7"/>
      <c r="G204" s="7"/>
      <c r="H204" s="58" t="str">
        <f t="shared" si="2"/>
        <v/>
      </c>
      <c r="I204" s="58" t="str">
        <f t="shared" si="5"/>
        <v/>
      </c>
      <c r="J204" s="58" t="str">
        <f t="shared" si="6"/>
        <v/>
      </c>
      <c r="K204" s="58" t="str">
        <f t="shared" si="7"/>
        <v/>
      </c>
      <c r="L204" s="6" t="str">
        <f t="shared" si="4"/>
        <v/>
      </c>
      <c r="M204" s="60" t="str">
        <f t="shared" si="3"/>
        <v/>
      </c>
    </row>
    <row r="205">
      <c r="A205" s="56" t="str">
        <f t="shared" si="1"/>
        <v/>
      </c>
      <c r="B205" s="57"/>
      <c r="C205" s="7"/>
      <c r="D205" s="7"/>
      <c r="E205" s="7"/>
      <c r="F205" s="7"/>
      <c r="G205" s="7"/>
      <c r="H205" s="58" t="str">
        <f t="shared" si="2"/>
        <v/>
      </c>
      <c r="I205" s="58" t="str">
        <f t="shared" si="5"/>
        <v/>
      </c>
      <c r="J205" s="58" t="str">
        <f t="shared" si="6"/>
        <v/>
      </c>
      <c r="K205" s="58" t="str">
        <f t="shared" si="7"/>
        <v/>
      </c>
      <c r="L205" s="6" t="str">
        <f t="shared" si="4"/>
        <v/>
      </c>
      <c r="M205" s="60" t="str">
        <f t="shared" si="3"/>
        <v/>
      </c>
    </row>
    <row r="206">
      <c r="A206" s="56" t="str">
        <f t="shared" si="1"/>
        <v/>
      </c>
      <c r="B206" s="57"/>
      <c r="C206" s="7"/>
      <c r="D206" s="7"/>
      <c r="E206" s="7"/>
      <c r="F206" s="7"/>
      <c r="G206" s="7"/>
      <c r="H206" s="58" t="str">
        <f t="shared" si="2"/>
        <v/>
      </c>
      <c r="I206" s="58" t="str">
        <f t="shared" si="5"/>
        <v/>
      </c>
      <c r="J206" s="58" t="str">
        <f t="shared" si="6"/>
        <v/>
      </c>
      <c r="K206" s="58" t="str">
        <f t="shared" si="7"/>
        <v/>
      </c>
      <c r="L206" s="6" t="str">
        <f t="shared" si="4"/>
        <v/>
      </c>
      <c r="M206" s="60" t="str">
        <f t="shared" si="3"/>
        <v/>
      </c>
    </row>
    <row r="207">
      <c r="A207" s="56" t="str">
        <f t="shared" si="1"/>
        <v/>
      </c>
      <c r="B207" s="57"/>
      <c r="C207" s="7"/>
      <c r="D207" s="7"/>
      <c r="E207" s="7"/>
      <c r="F207" s="7"/>
      <c r="G207" s="7"/>
      <c r="H207" s="58" t="str">
        <f t="shared" si="2"/>
        <v/>
      </c>
      <c r="I207" s="58" t="str">
        <f t="shared" si="5"/>
        <v/>
      </c>
      <c r="J207" s="58" t="str">
        <f t="shared" si="6"/>
        <v/>
      </c>
      <c r="K207" s="58" t="str">
        <f t="shared" si="7"/>
        <v/>
      </c>
      <c r="L207" s="6" t="str">
        <f t="shared" si="4"/>
        <v/>
      </c>
      <c r="M207" s="60" t="str">
        <f t="shared" si="3"/>
        <v/>
      </c>
    </row>
    <row r="208">
      <c r="A208" s="56" t="str">
        <f t="shared" si="1"/>
        <v/>
      </c>
      <c r="B208" s="57"/>
      <c r="C208" s="7"/>
      <c r="D208" s="7"/>
      <c r="E208" s="7"/>
      <c r="F208" s="7"/>
      <c r="G208" s="7"/>
      <c r="H208" s="58" t="str">
        <f t="shared" si="2"/>
        <v/>
      </c>
      <c r="I208" s="58" t="str">
        <f t="shared" si="5"/>
        <v/>
      </c>
      <c r="J208" s="58" t="str">
        <f t="shared" si="6"/>
        <v/>
      </c>
      <c r="K208" s="58" t="str">
        <f t="shared" si="7"/>
        <v/>
      </c>
      <c r="L208" s="6" t="str">
        <f t="shared" si="4"/>
        <v/>
      </c>
      <c r="M208" s="60" t="str">
        <f t="shared" si="3"/>
        <v/>
      </c>
    </row>
    <row r="209">
      <c r="A209" s="56" t="str">
        <f t="shared" si="1"/>
        <v/>
      </c>
      <c r="B209" s="57"/>
      <c r="C209" s="7"/>
      <c r="D209" s="7"/>
      <c r="E209" s="7"/>
      <c r="F209" s="7"/>
      <c r="G209" s="7"/>
      <c r="H209" s="58" t="str">
        <f t="shared" si="2"/>
        <v/>
      </c>
      <c r="I209" s="58" t="str">
        <f t="shared" si="5"/>
        <v/>
      </c>
      <c r="J209" s="58" t="str">
        <f t="shared" si="6"/>
        <v/>
      </c>
      <c r="K209" s="58" t="str">
        <f t="shared" si="7"/>
        <v/>
      </c>
      <c r="L209" s="6" t="str">
        <f t="shared" si="4"/>
        <v/>
      </c>
      <c r="M209" s="60" t="str">
        <f t="shared" si="3"/>
        <v/>
      </c>
    </row>
    <row r="210">
      <c r="A210" s="56" t="str">
        <f t="shared" si="1"/>
        <v/>
      </c>
      <c r="B210" s="57"/>
      <c r="C210" s="7"/>
      <c r="D210" s="7"/>
      <c r="E210" s="7"/>
      <c r="F210" s="7"/>
      <c r="G210" s="7"/>
      <c r="H210" s="58" t="str">
        <f t="shared" si="2"/>
        <v/>
      </c>
      <c r="I210" s="58" t="str">
        <f t="shared" si="5"/>
        <v/>
      </c>
      <c r="J210" s="58" t="str">
        <f t="shared" si="6"/>
        <v/>
      </c>
      <c r="K210" s="58" t="str">
        <f t="shared" si="7"/>
        <v/>
      </c>
      <c r="L210" s="6" t="str">
        <f t="shared" si="4"/>
        <v/>
      </c>
      <c r="M210" s="60" t="str">
        <f t="shared" si="3"/>
        <v/>
      </c>
    </row>
    <row r="211">
      <c r="A211" s="56" t="str">
        <f t="shared" si="1"/>
        <v/>
      </c>
      <c r="B211" s="57"/>
      <c r="C211" s="7"/>
      <c r="D211" s="7"/>
      <c r="E211" s="7"/>
      <c r="F211" s="7"/>
      <c r="G211" s="7"/>
      <c r="H211" s="58" t="str">
        <f t="shared" si="2"/>
        <v/>
      </c>
      <c r="I211" s="58" t="str">
        <f t="shared" si="5"/>
        <v/>
      </c>
      <c r="J211" s="58" t="str">
        <f t="shared" si="6"/>
        <v/>
      </c>
      <c r="K211" s="58" t="str">
        <f t="shared" si="7"/>
        <v/>
      </c>
      <c r="L211" s="6" t="str">
        <f t="shared" si="4"/>
        <v/>
      </c>
      <c r="M211" s="60" t="str">
        <f t="shared" si="3"/>
        <v/>
      </c>
    </row>
    <row r="212">
      <c r="A212" s="56" t="str">
        <f t="shared" si="1"/>
        <v/>
      </c>
      <c r="B212" s="57"/>
      <c r="C212" s="7"/>
      <c r="D212" s="7"/>
      <c r="E212" s="7"/>
      <c r="F212" s="7"/>
      <c r="G212" s="7"/>
      <c r="H212" s="58" t="str">
        <f t="shared" si="2"/>
        <v/>
      </c>
      <c r="I212" s="58" t="str">
        <f t="shared" si="5"/>
        <v/>
      </c>
      <c r="J212" s="58" t="str">
        <f t="shared" si="6"/>
        <v/>
      </c>
      <c r="K212" s="58" t="str">
        <f t="shared" si="7"/>
        <v/>
      </c>
      <c r="L212" s="6" t="str">
        <f t="shared" si="4"/>
        <v/>
      </c>
      <c r="M212" s="60" t="str">
        <f t="shared" si="3"/>
        <v/>
      </c>
    </row>
    <row r="213">
      <c r="A213" s="56" t="str">
        <f t="shared" si="1"/>
        <v/>
      </c>
      <c r="B213" s="57"/>
      <c r="C213" s="7"/>
      <c r="D213" s="7"/>
      <c r="E213" s="7"/>
      <c r="F213" s="7"/>
      <c r="G213" s="7"/>
      <c r="H213" s="58" t="str">
        <f t="shared" si="2"/>
        <v/>
      </c>
      <c r="I213" s="58" t="str">
        <f t="shared" si="5"/>
        <v/>
      </c>
      <c r="J213" s="58" t="str">
        <f t="shared" si="6"/>
        <v/>
      </c>
      <c r="K213" s="58" t="str">
        <f t="shared" si="7"/>
        <v/>
      </c>
      <c r="L213" s="6" t="str">
        <f t="shared" si="4"/>
        <v/>
      </c>
      <c r="M213" s="60" t="str">
        <f t="shared" si="3"/>
        <v/>
      </c>
    </row>
    <row r="214">
      <c r="A214" s="56" t="str">
        <f t="shared" si="1"/>
        <v/>
      </c>
      <c r="B214" s="57"/>
      <c r="C214" s="7"/>
      <c r="D214" s="7"/>
      <c r="E214" s="7"/>
      <c r="F214" s="7"/>
      <c r="G214" s="7"/>
      <c r="H214" s="58" t="str">
        <f t="shared" si="2"/>
        <v/>
      </c>
      <c r="I214" s="58" t="str">
        <f t="shared" si="5"/>
        <v/>
      </c>
      <c r="J214" s="58" t="str">
        <f t="shared" si="6"/>
        <v/>
      </c>
      <c r="K214" s="58" t="str">
        <f t="shared" si="7"/>
        <v/>
      </c>
      <c r="L214" s="6" t="str">
        <f t="shared" si="4"/>
        <v/>
      </c>
      <c r="M214" s="60" t="str">
        <f t="shared" si="3"/>
        <v/>
      </c>
    </row>
    <row r="215">
      <c r="A215" s="56" t="str">
        <f t="shared" si="1"/>
        <v/>
      </c>
      <c r="B215" s="57"/>
      <c r="C215" s="7"/>
      <c r="D215" s="7"/>
      <c r="E215" s="7"/>
      <c r="F215" s="7"/>
      <c r="G215" s="7"/>
      <c r="H215" s="58" t="str">
        <f t="shared" si="2"/>
        <v/>
      </c>
      <c r="I215" s="58" t="str">
        <f t="shared" si="5"/>
        <v/>
      </c>
      <c r="J215" s="58" t="str">
        <f t="shared" si="6"/>
        <v/>
      </c>
      <c r="K215" s="58" t="str">
        <f t="shared" si="7"/>
        <v/>
      </c>
      <c r="L215" s="6" t="str">
        <f t="shared" si="4"/>
        <v/>
      </c>
      <c r="M215" s="60" t="str">
        <f t="shared" si="3"/>
        <v/>
      </c>
    </row>
    <row r="216">
      <c r="A216" s="56" t="str">
        <f t="shared" si="1"/>
        <v/>
      </c>
      <c r="B216" s="57"/>
      <c r="C216" s="7"/>
      <c r="D216" s="7"/>
      <c r="E216" s="7"/>
      <c r="F216" s="7"/>
      <c r="G216" s="7"/>
      <c r="H216" s="58" t="str">
        <f t="shared" si="2"/>
        <v/>
      </c>
      <c r="I216" s="58" t="str">
        <f t="shared" si="5"/>
        <v/>
      </c>
      <c r="J216" s="58" t="str">
        <f t="shared" si="6"/>
        <v/>
      </c>
      <c r="K216" s="58" t="str">
        <f t="shared" si="7"/>
        <v/>
      </c>
      <c r="L216" s="6" t="str">
        <f t="shared" si="4"/>
        <v/>
      </c>
      <c r="M216" s="60" t="str">
        <f t="shared" si="3"/>
        <v/>
      </c>
    </row>
    <row r="217">
      <c r="A217" s="56" t="str">
        <f t="shared" si="1"/>
        <v/>
      </c>
      <c r="B217" s="57"/>
      <c r="C217" s="7"/>
      <c r="D217" s="7"/>
      <c r="E217" s="7"/>
      <c r="F217" s="7"/>
      <c r="G217" s="7"/>
      <c r="H217" s="58" t="str">
        <f t="shared" si="2"/>
        <v/>
      </c>
      <c r="I217" s="58" t="str">
        <f t="shared" si="5"/>
        <v/>
      </c>
      <c r="J217" s="58" t="str">
        <f t="shared" si="6"/>
        <v/>
      </c>
      <c r="K217" s="58" t="str">
        <f t="shared" si="7"/>
        <v/>
      </c>
      <c r="L217" s="6" t="str">
        <f t="shared" si="4"/>
        <v/>
      </c>
      <c r="M217" s="60" t="str">
        <f t="shared" si="3"/>
        <v/>
      </c>
    </row>
    <row r="218">
      <c r="A218" s="56" t="str">
        <f t="shared" si="1"/>
        <v/>
      </c>
      <c r="B218" s="57"/>
      <c r="C218" s="7"/>
      <c r="D218" s="7"/>
      <c r="E218" s="7"/>
      <c r="F218" s="7"/>
      <c r="G218" s="7"/>
      <c r="H218" s="58" t="str">
        <f t="shared" si="2"/>
        <v/>
      </c>
      <c r="I218" s="58" t="str">
        <f t="shared" si="5"/>
        <v/>
      </c>
      <c r="J218" s="58" t="str">
        <f t="shared" si="6"/>
        <v/>
      </c>
      <c r="K218" s="58" t="str">
        <f t="shared" si="7"/>
        <v/>
      </c>
      <c r="L218" s="6" t="str">
        <f t="shared" si="4"/>
        <v/>
      </c>
      <c r="M218" s="60" t="str">
        <f t="shared" si="3"/>
        <v/>
      </c>
    </row>
    <row r="219">
      <c r="A219" s="56" t="str">
        <f t="shared" si="1"/>
        <v/>
      </c>
      <c r="B219" s="57"/>
      <c r="C219" s="7"/>
      <c r="D219" s="7"/>
      <c r="E219" s="7"/>
      <c r="F219" s="7"/>
      <c r="G219" s="7"/>
      <c r="H219" s="58" t="str">
        <f t="shared" si="2"/>
        <v/>
      </c>
      <c r="I219" s="58" t="str">
        <f t="shared" si="5"/>
        <v/>
      </c>
      <c r="J219" s="58" t="str">
        <f t="shared" si="6"/>
        <v/>
      </c>
      <c r="K219" s="58" t="str">
        <f t="shared" si="7"/>
        <v/>
      </c>
      <c r="L219" s="6" t="str">
        <f t="shared" si="4"/>
        <v/>
      </c>
      <c r="M219" s="60" t="str">
        <f t="shared" si="3"/>
        <v/>
      </c>
    </row>
    <row r="220">
      <c r="A220" s="56" t="str">
        <f t="shared" si="1"/>
        <v/>
      </c>
      <c r="B220" s="57"/>
      <c r="C220" s="7"/>
      <c r="D220" s="7"/>
      <c r="E220" s="7"/>
      <c r="F220" s="7"/>
      <c r="G220" s="7"/>
      <c r="H220" s="58" t="str">
        <f t="shared" si="2"/>
        <v/>
      </c>
      <c r="I220" s="58" t="str">
        <f t="shared" si="5"/>
        <v/>
      </c>
      <c r="J220" s="58" t="str">
        <f t="shared" si="6"/>
        <v/>
      </c>
      <c r="K220" s="58" t="str">
        <f t="shared" si="7"/>
        <v/>
      </c>
      <c r="L220" s="6" t="str">
        <f t="shared" si="4"/>
        <v/>
      </c>
      <c r="M220" s="60" t="str">
        <f t="shared" si="3"/>
        <v/>
      </c>
    </row>
    <row r="221">
      <c r="A221" s="56" t="str">
        <f t="shared" si="1"/>
        <v/>
      </c>
      <c r="B221" s="57"/>
      <c r="C221" s="7"/>
      <c r="D221" s="7"/>
      <c r="E221" s="7"/>
      <c r="F221" s="7"/>
      <c r="G221" s="7"/>
      <c r="H221" s="58" t="str">
        <f t="shared" si="2"/>
        <v/>
      </c>
      <c r="I221" s="58" t="str">
        <f t="shared" si="5"/>
        <v/>
      </c>
      <c r="J221" s="58" t="str">
        <f t="shared" si="6"/>
        <v/>
      </c>
      <c r="K221" s="58" t="str">
        <f t="shared" si="7"/>
        <v/>
      </c>
      <c r="L221" s="6" t="str">
        <f t="shared" si="4"/>
        <v/>
      </c>
      <c r="M221" s="60" t="str">
        <f t="shared" si="3"/>
        <v/>
      </c>
    </row>
    <row r="222">
      <c r="A222" s="56" t="str">
        <f t="shared" si="1"/>
        <v/>
      </c>
      <c r="B222" s="57"/>
      <c r="C222" s="7"/>
      <c r="D222" s="7"/>
      <c r="E222" s="7"/>
      <c r="F222" s="7"/>
      <c r="G222" s="7"/>
      <c r="H222" s="58" t="str">
        <f t="shared" si="2"/>
        <v/>
      </c>
      <c r="I222" s="58" t="str">
        <f t="shared" si="5"/>
        <v/>
      </c>
      <c r="J222" s="58" t="str">
        <f t="shared" si="6"/>
        <v/>
      </c>
      <c r="K222" s="58" t="str">
        <f t="shared" si="7"/>
        <v/>
      </c>
      <c r="L222" s="6" t="str">
        <f t="shared" si="4"/>
        <v/>
      </c>
      <c r="M222" s="60" t="str">
        <f t="shared" si="3"/>
        <v/>
      </c>
    </row>
    <row r="223">
      <c r="A223" s="56" t="str">
        <f t="shared" si="1"/>
        <v/>
      </c>
      <c r="B223" s="57"/>
      <c r="C223" s="7"/>
      <c r="D223" s="7"/>
      <c r="E223" s="7"/>
      <c r="F223" s="7"/>
      <c r="G223" s="7"/>
      <c r="H223" s="58" t="str">
        <f t="shared" si="2"/>
        <v/>
      </c>
      <c r="I223" s="58" t="str">
        <f t="shared" si="5"/>
        <v/>
      </c>
      <c r="J223" s="58" t="str">
        <f t="shared" si="6"/>
        <v/>
      </c>
      <c r="K223" s="58" t="str">
        <f t="shared" si="7"/>
        <v/>
      </c>
      <c r="L223" s="6" t="str">
        <f t="shared" si="4"/>
        <v/>
      </c>
      <c r="M223" s="60" t="str">
        <f t="shared" si="3"/>
        <v/>
      </c>
    </row>
    <row r="224">
      <c r="A224" s="56" t="str">
        <f t="shared" si="1"/>
        <v/>
      </c>
      <c r="B224" s="57"/>
      <c r="C224" s="7"/>
      <c r="D224" s="7"/>
      <c r="E224" s="7"/>
      <c r="F224" s="7"/>
      <c r="G224" s="7"/>
      <c r="H224" s="58" t="str">
        <f t="shared" si="2"/>
        <v/>
      </c>
      <c r="I224" s="58" t="str">
        <f t="shared" si="5"/>
        <v/>
      </c>
      <c r="J224" s="58" t="str">
        <f t="shared" si="6"/>
        <v/>
      </c>
      <c r="K224" s="58" t="str">
        <f t="shared" si="7"/>
        <v/>
      </c>
      <c r="L224" s="6" t="str">
        <f t="shared" si="4"/>
        <v/>
      </c>
      <c r="M224" s="60" t="str">
        <f t="shared" si="3"/>
        <v/>
      </c>
    </row>
    <row r="225">
      <c r="A225" s="56" t="str">
        <f t="shared" si="1"/>
        <v/>
      </c>
      <c r="B225" s="57"/>
      <c r="C225" s="7"/>
      <c r="D225" s="7"/>
      <c r="E225" s="7"/>
      <c r="F225" s="7"/>
      <c r="G225" s="7"/>
      <c r="H225" s="58" t="str">
        <f t="shared" si="2"/>
        <v/>
      </c>
      <c r="I225" s="58" t="str">
        <f t="shared" si="5"/>
        <v/>
      </c>
      <c r="J225" s="58" t="str">
        <f t="shared" si="6"/>
        <v/>
      </c>
      <c r="K225" s="58" t="str">
        <f t="shared" si="7"/>
        <v/>
      </c>
      <c r="L225" s="6" t="str">
        <f t="shared" si="4"/>
        <v/>
      </c>
      <c r="M225" s="60" t="str">
        <f t="shared" si="3"/>
        <v/>
      </c>
    </row>
    <row r="226">
      <c r="A226" s="56" t="str">
        <f t="shared" si="1"/>
        <v/>
      </c>
      <c r="B226" s="57"/>
      <c r="C226" s="7"/>
      <c r="D226" s="7"/>
      <c r="E226" s="7"/>
      <c r="F226" s="7"/>
      <c r="G226" s="7"/>
      <c r="H226" s="58" t="str">
        <f t="shared" si="2"/>
        <v/>
      </c>
      <c r="I226" s="58" t="str">
        <f t="shared" si="5"/>
        <v/>
      </c>
      <c r="J226" s="58" t="str">
        <f t="shared" si="6"/>
        <v/>
      </c>
      <c r="K226" s="58" t="str">
        <f t="shared" si="7"/>
        <v/>
      </c>
      <c r="L226" s="6" t="str">
        <f t="shared" si="4"/>
        <v/>
      </c>
      <c r="M226" s="60" t="str">
        <f t="shared" si="3"/>
        <v/>
      </c>
    </row>
    <row r="227">
      <c r="A227" s="56" t="str">
        <f t="shared" si="1"/>
        <v/>
      </c>
      <c r="B227" s="57"/>
      <c r="C227" s="7"/>
      <c r="D227" s="7"/>
      <c r="E227" s="7"/>
      <c r="F227" s="7"/>
      <c r="G227" s="7"/>
      <c r="H227" s="58" t="str">
        <f t="shared" si="2"/>
        <v/>
      </c>
      <c r="I227" s="58" t="str">
        <f t="shared" si="5"/>
        <v/>
      </c>
      <c r="J227" s="58" t="str">
        <f t="shared" si="6"/>
        <v/>
      </c>
      <c r="K227" s="58" t="str">
        <f t="shared" si="7"/>
        <v/>
      </c>
      <c r="L227" s="6" t="str">
        <f t="shared" si="4"/>
        <v/>
      </c>
      <c r="M227" s="60" t="str">
        <f t="shared" si="3"/>
        <v/>
      </c>
    </row>
    <row r="228">
      <c r="A228" s="56" t="str">
        <f t="shared" si="1"/>
        <v/>
      </c>
      <c r="B228" s="57"/>
      <c r="C228" s="7"/>
      <c r="D228" s="7"/>
      <c r="E228" s="7"/>
      <c r="F228" s="7"/>
      <c r="G228" s="7"/>
      <c r="H228" s="58" t="str">
        <f t="shared" si="2"/>
        <v/>
      </c>
      <c r="I228" s="58" t="str">
        <f t="shared" si="5"/>
        <v/>
      </c>
      <c r="J228" s="58" t="str">
        <f t="shared" si="6"/>
        <v/>
      </c>
      <c r="K228" s="58" t="str">
        <f t="shared" si="7"/>
        <v/>
      </c>
      <c r="L228" s="6" t="str">
        <f t="shared" si="4"/>
        <v/>
      </c>
      <c r="M228" s="60" t="str">
        <f t="shared" si="3"/>
        <v/>
      </c>
    </row>
    <row r="229">
      <c r="A229" s="56" t="str">
        <f t="shared" si="1"/>
        <v/>
      </c>
      <c r="B229" s="57"/>
      <c r="C229" s="7"/>
      <c r="D229" s="7"/>
      <c r="E229" s="7"/>
      <c r="F229" s="7"/>
      <c r="G229" s="7"/>
      <c r="H229" s="58" t="str">
        <f t="shared" si="2"/>
        <v/>
      </c>
      <c r="I229" s="58" t="str">
        <f t="shared" si="5"/>
        <v/>
      </c>
      <c r="J229" s="58" t="str">
        <f t="shared" si="6"/>
        <v/>
      </c>
      <c r="K229" s="58" t="str">
        <f t="shared" si="7"/>
        <v/>
      </c>
      <c r="L229" s="6" t="str">
        <f t="shared" si="4"/>
        <v/>
      </c>
      <c r="M229" s="60" t="str">
        <f t="shared" si="3"/>
        <v/>
      </c>
    </row>
    <row r="230">
      <c r="A230" s="56" t="str">
        <f t="shared" si="1"/>
        <v/>
      </c>
      <c r="B230" s="57"/>
      <c r="C230" s="7"/>
      <c r="D230" s="7"/>
      <c r="E230" s="7"/>
      <c r="F230" s="7"/>
      <c r="G230" s="7"/>
      <c r="H230" s="58" t="str">
        <f t="shared" si="2"/>
        <v/>
      </c>
      <c r="I230" s="58" t="str">
        <f t="shared" si="5"/>
        <v/>
      </c>
      <c r="J230" s="58" t="str">
        <f t="shared" si="6"/>
        <v/>
      </c>
      <c r="K230" s="58" t="str">
        <f t="shared" si="7"/>
        <v/>
      </c>
      <c r="L230" s="6" t="str">
        <f t="shared" si="4"/>
        <v/>
      </c>
      <c r="M230" s="60" t="str">
        <f t="shared" si="3"/>
        <v/>
      </c>
    </row>
    <row r="231">
      <c r="A231" s="56" t="str">
        <f t="shared" si="1"/>
        <v/>
      </c>
      <c r="B231" s="57"/>
      <c r="C231" s="7"/>
      <c r="D231" s="7"/>
      <c r="E231" s="7"/>
      <c r="F231" s="7"/>
      <c r="G231" s="7"/>
      <c r="H231" s="58" t="str">
        <f t="shared" si="2"/>
        <v/>
      </c>
      <c r="I231" s="58" t="str">
        <f t="shared" si="5"/>
        <v/>
      </c>
      <c r="J231" s="58" t="str">
        <f t="shared" si="6"/>
        <v/>
      </c>
      <c r="K231" s="58" t="str">
        <f t="shared" si="7"/>
        <v/>
      </c>
      <c r="L231" s="6" t="str">
        <f t="shared" si="4"/>
        <v/>
      </c>
      <c r="M231" s="60" t="str">
        <f t="shared" si="3"/>
        <v/>
      </c>
    </row>
    <row r="232">
      <c r="A232" s="56" t="str">
        <f t="shared" si="1"/>
        <v/>
      </c>
      <c r="B232" s="57"/>
      <c r="C232" s="7"/>
      <c r="D232" s="7"/>
      <c r="E232" s="7"/>
      <c r="F232" s="7"/>
      <c r="G232" s="7"/>
      <c r="H232" s="58" t="str">
        <f t="shared" si="2"/>
        <v/>
      </c>
      <c r="I232" s="58" t="str">
        <f t="shared" si="5"/>
        <v/>
      </c>
      <c r="J232" s="58" t="str">
        <f t="shared" si="6"/>
        <v/>
      </c>
      <c r="K232" s="58" t="str">
        <f t="shared" si="7"/>
        <v/>
      </c>
      <c r="L232" s="6" t="str">
        <f t="shared" si="4"/>
        <v/>
      </c>
      <c r="M232" s="60" t="str">
        <f t="shared" si="3"/>
        <v/>
      </c>
    </row>
    <row r="233">
      <c r="A233" s="56" t="str">
        <f t="shared" si="1"/>
        <v/>
      </c>
      <c r="B233" s="57"/>
      <c r="C233" s="7"/>
      <c r="D233" s="7"/>
      <c r="E233" s="7"/>
      <c r="F233" s="7"/>
      <c r="G233" s="7"/>
      <c r="H233" s="58" t="str">
        <f t="shared" si="2"/>
        <v/>
      </c>
      <c r="I233" s="58" t="str">
        <f t="shared" si="5"/>
        <v/>
      </c>
      <c r="J233" s="58" t="str">
        <f t="shared" si="6"/>
        <v/>
      </c>
      <c r="K233" s="58" t="str">
        <f t="shared" si="7"/>
        <v/>
      </c>
      <c r="L233" s="6" t="str">
        <f t="shared" si="4"/>
        <v/>
      </c>
      <c r="M233" s="60" t="str">
        <f t="shared" si="3"/>
        <v/>
      </c>
    </row>
    <row r="234">
      <c r="A234" s="56" t="str">
        <f t="shared" si="1"/>
        <v/>
      </c>
      <c r="B234" s="57"/>
      <c r="C234" s="7"/>
      <c r="D234" s="7"/>
      <c r="E234" s="7"/>
      <c r="F234" s="7"/>
      <c r="G234" s="7"/>
      <c r="H234" s="58" t="str">
        <f t="shared" si="2"/>
        <v/>
      </c>
      <c r="I234" s="58" t="str">
        <f t="shared" si="5"/>
        <v/>
      </c>
      <c r="J234" s="58" t="str">
        <f t="shared" si="6"/>
        <v/>
      </c>
      <c r="K234" s="58" t="str">
        <f t="shared" si="7"/>
        <v/>
      </c>
      <c r="L234" s="6" t="str">
        <f t="shared" si="4"/>
        <v/>
      </c>
      <c r="M234" s="60" t="str">
        <f t="shared" si="3"/>
        <v/>
      </c>
    </row>
    <row r="235">
      <c r="A235" s="56" t="str">
        <f t="shared" si="1"/>
        <v/>
      </c>
      <c r="B235" s="57"/>
      <c r="C235" s="7"/>
      <c r="D235" s="7"/>
      <c r="E235" s="7"/>
      <c r="F235" s="7"/>
      <c r="G235" s="7"/>
      <c r="H235" s="58" t="str">
        <f t="shared" si="2"/>
        <v/>
      </c>
      <c r="I235" s="58" t="str">
        <f t="shared" si="5"/>
        <v/>
      </c>
      <c r="J235" s="58" t="str">
        <f t="shared" si="6"/>
        <v/>
      </c>
      <c r="K235" s="58" t="str">
        <f t="shared" si="7"/>
        <v/>
      </c>
      <c r="L235" s="6" t="str">
        <f t="shared" si="4"/>
        <v/>
      </c>
      <c r="M235" s="60" t="str">
        <f t="shared" si="3"/>
        <v/>
      </c>
    </row>
    <row r="236">
      <c r="A236" s="56" t="str">
        <f t="shared" si="1"/>
        <v/>
      </c>
      <c r="B236" s="57"/>
      <c r="C236" s="7"/>
      <c r="D236" s="7"/>
      <c r="E236" s="7"/>
      <c r="F236" s="7"/>
      <c r="G236" s="7"/>
      <c r="H236" s="58" t="str">
        <f t="shared" si="2"/>
        <v/>
      </c>
      <c r="I236" s="58" t="str">
        <f t="shared" si="5"/>
        <v/>
      </c>
      <c r="J236" s="58" t="str">
        <f t="shared" si="6"/>
        <v/>
      </c>
      <c r="K236" s="58" t="str">
        <f t="shared" si="7"/>
        <v/>
      </c>
      <c r="L236" s="6" t="str">
        <f t="shared" si="4"/>
        <v/>
      </c>
      <c r="M236" s="60" t="str">
        <f t="shared" si="3"/>
        <v/>
      </c>
    </row>
    <row r="237">
      <c r="A237" s="56" t="str">
        <f t="shared" si="1"/>
        <v/>
      </c>
      <c r="B237" s="57"/>
      <c r="C237" s="7"/>
      <c r="D237" s="7"/>
      <c r="E237" s="7"/>
      <c r="F237" s="7"/>
      <c r="G237" s="7"/>
      <c r="H237" s="58" t="str">
        <f t="shared" si="2"/>
        <v/>
      </c>
      <c r="I237" s="58" t="str">
        <f t="shared" si="5"/>
        <v/>
      </c>
      <c r="J237" s="58" t="str">
        <f t="shared" si="6"/>
        <v/>
      </c>
      <c r="K237" s="58" t="str">
        <f t="shared" si="7"/>
        <v/>
      </c>
      <c r="L237" s="6" t="str">
        <f t="shared" si="4"/>
        <v/>
      </c>
      <c r="M237" s="60" t="str">
        <f t="shared" si="3"/>
        <v/>
      </c>
    </row>
    <row r="238">
      <c r="A238" s="56" t="str">
        <f t="shared" si="1"/>
        <v/>
      </c>
      <c r="B238" s="57"/>
      <c r="C238" s="7"/>
      <c r="D238" s="7"/>
      <c r="E238" s="7"/>
      <c r="F238" s="7"/>
      <c r="G238" s="7"/>
      <c r="H238" s="58" t="str">
        <f t="shared" si="2"/>
        <v/>
      </c>
      <c r="I238" s="58" t="str">
        <f t="shared" si="5"/>
        <v/>
      </c>
      <c r="J238" s="58" t="str">
        <f t="shared" si="6"/>
        <v/>
      </c>
      <c r="K238" s="58" t="str">
        <f t="shared" si="7"/>
        <v/>
      </c>
      <c r="L238" s="6" t="str">
        <f t="shared" si="4"/>
        <v/>
      </c>
      <c r="M238" s="60" t="str">
        <f t="shared" si="3"/>
        <v/>
      </c>
    </row>
    <row r="239">
      <c r="A239" s="56" t="str">
        <f t="shared" si="1"/>
        <v/>
      </c>
      <c r="B239" s="57"/>
      <c r="C239" s="7"/>
      <c r="D239" s="7"/>
      <c r="E239" s="7"/>
      <c r="F239" s="7"/>
      <c r="G239" s="7"/>
      <c r="H239" s="58" t="str">
        <f t="shared" si="2"/>
        <v/>
      </c>
      <c r="I239" s="58" t="str">
        <f t="shared" si="5"/>
        <v/>
      </c>
      <c r="J239" s="58" t="str">
        <f t="shared" si="6"/>
        <v/>
      </c>
      <c r="K239" s="58" t="str">
        <f t="shared" si="7"/>
        <v/>
      </c>
      <c r="L239" s="6" t="str">
        <f t="shared" si="4"/>
        <v/>
      </c>
      <c r="M239" s="60" t="str">
        <f t="shared" si="3"/>
        <v/>
      </c>
    </row>
    <row r="240">
      <c r="A240" s="56" t="str">
        <f t="shared" si="1"/>
        <v/>
      </c>
      <c r="B240" s="57"/>
      <c r="C240" s="7"/>
      <c r="D240" s="7"/>
      <c r="E240" s="7"/>
      <c r="F240" s="7"/>
      <c r="G240" s="7"/>
      <c r="H240" s="58" t="str">
        <f t="shared" si="2"/>
        <v/>
      </c>
      <c r="I240" s="58" t="str">
        <f t="shared" si="5"/>
        <v/>
      </c>
      <c r="J240" s="58" t="str">
        <f t="shared" si="6"/>
        <v/>
      </c>
      <c r="K240" s="58" t="str">
        <f t="shared" si="7"/>
        <v/>
      </c>
      <c r="L240" s="6" t="str">
        <f t="shared" si="4"/>
        <v/>
      </c>
      <c r="M240" s="60" t="str">
        <f t="shared" si="3"/>
        <v/>
      </c>
    </row>
    <row r="241">
      <c r="A241" s="56" t="str">
        <f t="shared" si="1"/>
        <v/>
      </c>
      <c r="B241" s="57"/>
      <c r="C241" s="7"/>
      <c r="D241" s="7"/>
      <c r="E241" s="7"/>
      <c r="F241" s="7"/>
      <c r="G241" s="7"/>
      <c r="H241" s="58" t="str">
        <f t="shared" si="2"/>
        <v/>
      </c>
      <c r="I241" s="58" t="str">
        <f t="shared" si="5"/>
        <v/>
      </c>
      <c r="J241" s="58" t="str">
        <f t="shared" si="6"/>
        <v/>
      </c>
      <c r="K241" s="58" t="str">
        <f t="shared" si="7"/>
        <v/>
      </c>
      <c r="L241" s="6" t="str">
        <f t="shared" si="4"/>
        <v/>
      </c>
      <c r="M241" s="60" t="str">
        <f t="shared" si="3"/>
        <v/>
      </c>
    </row>
    <row r="242">
      <c r="A242" s="56" t="str">
        <f t="shared" si="1"/>
        <v/>
      </c>
      <c r="B242" s="57"/>
      <c r="C242" s="7"/>
      <c r="D242" s="7"/>
      <c r="E242" s="7"/>
      <c r="F242" s="7"/>
      <c r="G242" s="7"/>
      <c r="H242" s="58" t="str">
        <f t="shared" si="2"/>
        <v/>
      </c>
      <c r="I242" s="58" t="str">
        <f t="shared" si="5"/>
        <v/>
      </c>
      <c r="J242" s="58" t="str">
        <f t="shared" si="6"/>
        <v/>
      </c>
      <c r="K242" s="58" t="str">
        <f t="shared" si="7"/>
        <v/>
      </c>
      <c r="L242" s="6" t="str">
        <f t="shared" si="4"/>
        <v/>
      </c>
      <c r="M242" s="60" t="str">
        <f t="shared" si="3"/>
        <v/>
      </c>
    </row>
    <row r="243">
      <c r="A243" s="56" t="str">
        <f t="shared" si="1"/>
        <v/>
      </c>
      <c r="B243" s="57"/>
      <c r="C243" s="7"/>
      <c r="D243" s="7"/>
      <c r="E243" s="7"/>
      <c r="F243" s="7"/>
      <c r="G243" s="7"/>
      <c r="H243" s="58" t="str">
        <f t="shared" si="2"/>
        <v/>
      </c>
      <c r="I243" s="58" t="str">
        <f t="shared" si="5"/>
        <v/>
      </c>
      <c r="J243" s="58" t="str">
        <f t="shared" si="6"/>
        <v/>
      </c>
      <c r="K243" s="58" t="str">
        <f t="shared" si="7"/>
        <v/>
      </c>
      <c r="L243" s="6" t="str">
        <f t="shared" si="4"/>
        <v/>
      </c>
      <c r="M243" s="60" t="str">
        <f t="shared" si="3"/>
        <v/>
      </c>
    </row>
    <row r="244">
      <c r="A244" s="56" t="str">
        <f t="shared" si="1"/>
        <v/>
      </c>
      <c r="B244" s="57"/>
      <c r="C244" s="7"/>
      <c r="D244" s="7"/>
      <c r="E244" s="7"/>
      <c r="F244" s="7"/>
      <c r="G244" s="7"/>
      <c r="H244" s="58" t="str">
        <f t="shared" si="2"/>
        <v/>
      </c>
      <c r="I244" s="58" t="str">
        <f t="shared" si="5"/>
        <v/>
      </c>
      <c r="J244" s="58" t="str">
        <f t="shared" si="6"/>
        <v/>
      </c>
      <c r="K244" s="58" t="str">
        <f t="shared" si="7"/>
        <v/>
      </c>
      <c r="L244" s="6" t="str">
        <f t="shared" si="4"/>
        <v/>
      </c>
      <c r="M244" s="60" t="str">
        <f t="shared" si="3"/>
        <v/>
      </c>
    </row>
    <row r="245">
      <c r="A245" s="56" t="str">
        <f t="shared" si="1"/>
        <v/>
      </c>
      <c r="B245" s="57"/>
      <c r="C245" s="7"/>
      <c r="D245" s="7"/>
      <c r="E245" s="7"/>
      <c r="F245" s="7"/>
      <c r="G245" s="7"/>
      <c r="H245" s="58" t="str">
        <f t="shared" si="2"/>
        <v/>
      </c>
      <c r="I245" s="58" t="str">
        <f t="shared" si="5"/>
        <v/>
      </c>
      <c r="J245" s="58" t="str">
        <f t="shared" si="6"/>
        <v/>
      </c>
      <c r="K245" s="58" t="str">
        <f t="shared" si="7"/>
        <v/>
      </c>
      <c r="L245" s="6" t="str">
        <f t="shared" si="4"/>
        <v/>
      </c>
      <c r="M245" s="60" t="str">
        <f t="shared" si="3"/>
        <v/>
      </c>
    </row>
    <row r="246">
      <c r="A246" s="56" t="str">
        <f t="shared" si="1"/>
        <v/>
      </c>
      <c r="B246" s="57"/>
      <c r="C246" s="7"/>
      <c r="D246" s="7"/>
      <c r="E246" s="7"/>
      <c r="F246" s="7"/>
      <c r="G246" s="7"/>
      <c r="H246" s="58" t="str">
        <f t="shared" si="2"/>
        <v/>
      </c>
      <c r="I246" s="58" t="str">
        <f t="shared" si="5"/>
        <v/>
      </c>
      <c r="J246" s="58" t="str">
        <f t="shared" si="6"/>
        <v/>
      </c>
      <c r="K246" s="58" t="str">
        <f t="shared" si="7"/>
        <v/>
      </c>
      <c r="L246" s="6" t="str">
        <f t="shared" si="4"/>
        <v/>
      </c>
      <c r="M246" s="60" t="str">
        <f t="shared" si="3"/>
        <v/>
      </c>
    </row>
    <row r="247">
      <c r="A247" s="56" t="str">
        <f t="shared" si="1"/>
        <v/>
      </c>
      <c r="B247" s="57"/>
      <c r="C247" s="7"/>
      <c r="D247" s="7"/>
      <c r="E247" s="7"/>
      <c r="F247" s="7"/>
      <c r="G247" s="7"/>
      <c r="H247" s="58" t="str">
        <f t="shared" si="2"/>
        <v/>
      </c>
      <c r="I247" s="58" t="str">
        <f t="shared" si="5"/>
        <v/>
      </c>
      <c r="J247" s="58" t="str">
        <f t="shared" si="6"/>
        <v/>
      </c>
      <c r="K247" s="58" t="str">
        <f t="shared" si="7"/>
        <v/>
      </c>
      <c r="L247" s="6" t="str">
        <f t="shared" si="4"/>
        <v/>
      </c>
      <c r="M247" s="60" t="str">
        <f t="shared" si="3"/>
        <v/>
      </c>
    </row>
    <row r="248">
      <c r="A248" s="56" t="str">
        <f t="shared" si="1"/>
        <v/>
      </c>
      <c r="B248" s="57"/>
      <c r="C248" s="7"/>
      <c r="D248" s="7"/>
      <c r="E248" s="7"/>
      <c r="F248" s="7"/>
      <c r="G248" s="7"/>
      <c r="H248" s="58" t="str">
        <f t="shared" si="2"/>
        <v/>
      </c>
      <c r="I248" s="58" t="str">
        <f t="shared" si="5"/>
        <v/>
      </c>
      <c r="J248" s="58" t="str">
        <f t="shared" si="6"/>
        <v/>
      </c>
      <c r="K248" s="58" t="str">
        <f t="shared" si="7"/>
        <v/>
      </c>
      <c r="L248" s="6" t="str">
        <f t="shared" si="4"/>
        <v/>
      </c>
      <c r="M248" s="60" t="str">
        <f t="shared" si="3"/>
        <v/>
      </c>
    </row>
    <row r="249">
      <c r="A249" s="56" t="str">
        <f t="shared" si="1"/>
        <v/>
      </c>
      <c r="B249" s="57"/>
      <c r="C249" s="7"/>
      <c r="D249" s="7"/>
      <c r="E249" s="7"/>
      <c r="F249" s="7"/>
      <c r="G249" s="7"/>
      <c r="H249" s="58" t="str">
        <f t="shared" si="2"/>
        <v/>
      </c>
      <c r="I249" s="58" t="str">
        <f t="shared" si="5"/>
        <v/>
      </c>
      <c r="J249" s="58" t="str">
        <f t="shared" si="6"/>
        <v/>
      </c>
      <c r="K249" s="58" t="str">
        <f t="shared" si="7"/>
        <v/>
      </c>
      <c r="L249" s="6" t="str">
        <f t="shared" si="4"/>
        <v/>
      </c>
      <c r="M249" s="60" t="str">
        <f t="shared" si="3"/>
        <v/>
      </c>
    </row>
    <row r="250">
      <c r="A250" s="56" t="str">
        <f t="shared" si="1"/>
        <v/>
      </c>
      <c r="B250" s="57"/>
      <c r="C250" s="7"/>
      <c r="D250" s="7"/>
      <c r="E250" s="7"/>
      <c r="F250" s="7"/>
      <c r="G250" s="7"/>
      <c r="H250" s="58" t="str">
        <f t="shared" si="2"/>
        <v/>
      </c>
      <c r="I250" s="58" t="str">
        <f t="shared" si="5"/>
        <v/>
      </c>
      <c r="J250" s="58" t="str">
        <f t="shared" si="6"/>
        <v/>
      </c>
      <c r="K250" s="58" t="str">
        <f t="shared" si="7"/>
        <v/>
      </c>
      <c r="L250" s="6" t="str">
        <f t="shared" si="4"/>
        <v/>
      </c>
      <c r="M250" s="60" t="str">
        <f t="shared" si="3"/>
        <v/>
      </c>
    </row>
    <row r="251">
      <c r="A251" s="56" t="str">
        <f t="shared" si="1"/>
        <v/>
      </c>
      <c r="B251" s="57"/>
      <c r="C251" s="7"/>
      <c r="D251" s="7"/>
      <c r="E251" s="7"/>
      <c r="F251" s="7"/>
      <c r="G251" s="7"/>
      <c r="H251" s="58" t="str">
        <f t="shared" si="2"/>
        <v/>
      </c>
      <c r="I251" s="58" t="str">
        <f t="shared" si="5"/>
        <v/>
      </c>
      <c r="J251" s="58" t="str">
        <f t="shared" si="6"/>
        <v/>
      </c>
      <c r="K251" s="58" t="str">
        <f t="shared" si="7"/>
        <v/>
      </c>
      <c r="L251" s="6" t="str">
        <f t="shared" si="4"/>
        <v/>
      </c>
      <c r="M251" s="60" t="str">
        <f t="shared" si="3"/>
        <v/>
      </c>
    </row>
    <row r="252">
      <c r="A252" s="56" t="str">
        <f t="shared" si="1"/>
        <v/>
      </c>
      <c r="B252" s="57"/>
      <c r="C252" s="7"/>
      <c r="D252" s="7"/>
      <c r="E252" s="7"/>
      <c r="F252" s="7"/>
      <c r="G252" s="7"/>
      <c r="H252" s="58" t="str">
        <f t="shared" si="2"/>
        <v/>
      </c>
      <c r="I252" s="58" t="str">
        <f t="shared" si="5"/>
        <v/>
      </c>
      <c r="J252" s="58" t="str">
        <f t="shared" si="6"/>
        <v/>
      </c>
      <c r="K252" s="58" t="str">
        <f t="shared" si="7"/>
        <v/>
      </c>
      <c r="L252" s="6" t="str">
        <f t="shared" si="4"/>
        <v/>
      </c>
      <c r="M252" s="60" t="str">
        <f t="shared" si="3"/>
        <v/>
      </c>
    </row>
    <row r="253">
      <c r="A253" s="56" t="str">
        <f t="shared" si="1"/>
        <v/>
      </c>
      <c r="B253" s="57"/>
      <c r="C253" s="7"/>
      <c r="D253" s="7"/>
      <c r="E253" s="7"/>
      <c r="F253" s="7"/>
      <c r="G253" s="7"/>
      <c r="H253" s="58" t="str">
        <f t="shared" si="2"/>
        <v/>
      </c>
      <c r="I253" s="58" t="str">
        <f t="shared" si="5"/>
        <v/>
      </c>
      <c r="J253" s="58" t="str">
        <f t="shared" si="6"/>
        <v/>
      </c>
      <c r="K253" s="58" t="str">
        <f t="shared" si="7"/>
        <v/>
      </c>
      <c r="L253" s="6" t="str">
        <f t="shared" si="4"/>
        <v/>
      </c>
      <c r="M253" s="60" t="str">
        <f t="shared" si="3"/>
        <v/>
      </c>
    </row>
    <row r="254">
      <c r="A254" s="56" t="str">
        <f t="shared" si="1"/>
        <v/>
      </c>
      <c r="B254" s="57"/>
      <c r="C254" s="7"/>
      <c r="D254" s="7"/>
      <c r="E254" s="7"/>
      <c r="F254" s="7"/>
      <c r="G254" s="7"/>
      <c r="H254" s="58" t="str">
        <f t="shared" si="2"/>
        <v/>
      </c>
      <c r="I254" s="58" t="str">
        <f t="shared" si="5"/>
        <v/>
      </c>
      <c r="J254" s="58" t="str">
        <f t="shared" si="6"/>
        <v/>
      </c>
      <c r="K254" s="58" t="str">
        <f t="shared" si="7"/>
        <v/>
      </c>
      <c r="L254" s="6" t="str">
        <f t="shared" si="4"/>
        <v/>
      </c>
      <c r="M254" s="60" t="str">
        <f t="shared" si="3"/>
        <v/>
      </c>
    </row>
    <row r="255">
      <c r="A255" s="56" t="str">
        <f t="shared" si="1"/>
        <v/>
      </c>
      <c r="B255" s="57"/>
      <c r="C255" s="7"/>
      <c r="D255" s="7"/>
      <c r="E255" s="7"/>
      <c r="F255" s="7"/>
      <c r="G255" s="7"/>
      <c r="H255" s="58" t="str">
        <f t="shared" si="2"/>
        <v/>
      </c>
      <c r="I255" s="58" t="str">
        <f t="shared" si="5"/>
        <v/>
      </c>
      <c r="J255" s="58" t="str">
        <f t="shared" si="6"/>
        <v/>
      </c>
      <c r="K255" s="58" t="str">
        <f t="shared" si="7"/>
        <v/>
      </c>
      <c r="L255" s="6" t="str">
        <f t="shared" si="4"/>
        <v/>
      </c>
      <c r="M255" s="60" t="str">
        <f t="shared" si="3"/>
        <v/>
      </c>
    </row>
    <row r="256">
      <c r="A256" s="56" t="str">
        <f t="shared" si="1"/>
        <v/>
      </c>
      <c r="B256" s="57"/>
      <c r="C256" s="7"/>
      <c r="D256" s="7"/>
      <c r="E256" s="7"/>
      <c r="F256" s="7"/>
      <c r="G256" s="7"/>
      <c r="H256" s="58" t="str">
        <f t="shared" si="2"/>
        <v/>
      </c>
      <c r="I256" s="58" t="str">
        <f t="shared" si="5"/>
        <v/>
      </c>
      <c r="J256" s="58" t="str">
        <f t="shared" si="6"/>
        <v/>
      </c>
      <c r="K256" s="58" t="str">
        <f t="shared" si="7"/>
        <v/>
      </c>
      <c r="L256" s="6" t="str">
        <f t="shared" si="4"/>
        <v/>
      </c>
      <c r="M256" s="60" t="str">
        <f t="shared" si="3"/>
        <v/>
      </c>
    </row>
    <row r="257">
      <c r="A257" s="56" t="str">
        <f t="shared" si="1"/>
        <v/>
      </c>
      <c r="B257" s="57"/>
      <c r="C257" s="7"/>
      <c r="D257" s="7"/>
      <c r="E257" s="7"/>
      <c r="F257" s="7"/>
      <c r="G257" s="7"/>
      <c r="H257" s="58" t="str">
        <f t="shared" si="2"/>
        <v/>
      </c>
      <c r="I257" s="58" t="str">
        <f t="shared" si="5"/>
        <v/>
      </c>
      <c r="J257" s="58" t="str">
        <f t="shared" si="6"/>
        <v/>
      </c>
      <c r="K257" s="58" t="str">
        <f t="shared" si="7"/>
        <v/>
      </c>
      <c r="L257" s="6" t="str">
        <f t="shared" si="4"/>
        <v/>
      </c>
      <c r="M257" s="60" t="str">
        <f t="shared" si="3"/>
        <v/>
      </c>
    </row>
    <row r="258">
      <c r="A258" s="56" t="str">
        <f t="shared" si="1"/>
        <v/>
      </c>
      <c r="B258" s="57"/>
      <c r="C258" s="7"/>
      <c r="D258" s="7"/>
      <c r="E258" s="7"/>
      <c r="F258" s="7"/>
      <c r="G258" s="7"/>
      <c r="H258" s="58" t="str">
        <f t="shared" si="2"/>
        <v/>
      </c>
      <c r="I258" s="58" t="str">
        <f t="shared" si="5"/>
        <v/>
      </c>
      <c r="J258" s="58" t="str">
        <f t="shared" si="6"/>
        <v/>
      </c>
      <c r="K258" s="58" t="str">
        <f t="shared" si="7"/>
        <v/>
      </c>
      <c r="L258" s="6" t="str">
        <f t="shared" si="4"/>
        <v/>
      </c>
      <c r="M258" s="60" t="str">
        <f t="shared" si="3"/>
        <v/>
      </c>
    </row>
    <row r="259">
      <c r="A259" s="56" t="str">
        <f t="shared" si="1"/>
        <v/>
      </c>
      <c r="B259" s="57"/>
      <c r="C259" s="7"/>
      <c r="D259" s="7"/>
      <c r="E259" s="7"/>
      <c r="F259" s="7"/>
      <c r="G259" s="7"/>
      <c r="H259" s="58" t="str">
        <f t="shared" si="2"/>
        <v/>
      </c>
      <c r="I259" s="58" t="str">
        <f t="shared" si="5"/>
        <v/>
      </c>
      <c r="J259" s="58" t="str">
        <f t="shared" si="6"/>
        <v/>
      </c>
      <c r="K259" s="58" t="str">
        <f t="shared" si="7"/>
        <v/>
      </c>
      <c r="L259" s="6" t="str">
        <f t="shared" si="4"/>
        <v/>
      </c>
      <c r="M259" s="60" t="str">
        <f t="shared" si="3"/>
        <v/>
      </c>
    </row>
    <row r="260">
      <c r="A260" s="56" t="str">
        <f t="shared" si="1"/>
        <v/>
      </c>
      <c r="B260" s="57"/>
      <c r="C260" s="7"/>
      <c r="D260" s="7"/>
      <c r="E260" s="7"/>
      <c r="F260" s="7"/>
      <c r="G260" s="7"/>
      <c r="H260" s="58" t="str">
        <f t="shared" si="2"/>
        <v/>
      </c>
      <c r="I260" s="58" t="str">
        <f t="shared" si="5"/>
        <v/>
      </c>
      <c r="J260" s="58" t="str">
        <f t="shared" si="6"/>
        <v/>
      </c>
      <c r="K260" s="58" t="str">
        <f t="shared" si="7"/>
        <v/>
      </c>
      <c r="L260" s="6" t="str">
        <f t="shared" si="4"/>
        <v/>
      </c>
      <c r="M260" s="60" t="str">
        <f t="shared" si="3"/>
        <v/>
      </c>
    </row>
    <row r="261">
      <c r="A261" s="56" t="str">
        <f t="shared" si="1"/>
        <v/>
      </c>
      <c r="B261" s="57"/>
      <c r="C261" s="7"/>
      <c r="D261" s="7"/>
      <c r="E261" s="7"/>
      <c r="F261" s="7"/>
      <c r="G261" s="7"/>
      <c r="H261" s="58" t="str">
        <f t="shared" si="2"/>
        <v/>
      </c>
      <c r="I261" s="58" t="str">
        <f t="shared" si="5"/>
        <v/>
      </c>
      <c r="J261" s="58" t="str">
        <f t="shared" si="6"/>
        <v/>
      </c>
      <c r="K261" s="58" t="str">
        <f t="shared" si="7"/>
        <v/>
      </c>
      <c r="L261" s="6" t="str">
        <f t="shared" si="4"/>
        <v/>
      </c>
      <c r="M261" s="60" t="str">
        <f t="shared" si="3"/>
        <v/>
      </c>
    </row>
    <row r="262">
      <c r="A262" s="56" t="str">
        <f t="shared" si="1"/>
        <v/>
      </c>
      <c r="B262" s="57"/>
      <c r="C262" s="7"/>
      <c r="D262" s="7"/>
      <c r="E262" s="7"/>
      <c r="F262" s="7"/>
      <c r="G262" s="7"/>
      <c r="H262" s="58" t="str">
        <f t="shared" si="2"/>
        <v/>
      </c>
      <c r="I262" s="58" t="str">
        <f t="shared" si="5"/>
        <v/>
      </c>
      <c r="J262" s="58" t="str">
        <f t="shared" si="6"/>
        <v/>
      </c>
      <c r="K262" s="58" t="str">
        <f t="shared" si="7"/>
        <v/>
      </c>
      <c r="L262" s="6" t="str">
        <f t="shared" si="4"/>
        <v/>
      </c>
      <c r="M262" s="60" t="str">
        <f t="shared" si="3"/>
        <v/>
      </c>
    </row>
    <row r="263">
      <c r="A263" s="56" t="str">
        <f t="shared" si="1"/>
        <v/>
      </c>
      <c r="B263" s="57"/>
      <c r="C263" s="7"/>
      <c r="D263" s="7"/>
      <c r="E263" s="7"/>
      <c r="F263" s="7"/>
      <c r="G263" s="7"/>
      <c r="H263" s="58" t="str">
        <f t="shared" si="2"/>
        <v/>
      </c>
      <c r="I263" s="58" t="str">
        <f t="shared" si="5"/>
        <v/>
      </c>
      <c r="J263" s="58" t="str">
        <f t="shared" si="6"/>
        <v/>
      </c>
      <c r="K263" s="58" t="str">
        <f t="shared" si="7"/>
        <v/>
      </c>
      <c r="L263" s="6" t="str">
        <f t="shared" si="4"/>
        <v/>
      </c>
      <c r="M263" s="60" t="str">
        <f t="shared" si="3"/>
        <v/>
      </c>
    </row>
    <row r="264">
      <c r="A264" s="56" t="str">
        <f t="shared" si="1"/>
        <v/>
      </c>
      <c r="B264" s="57"/>
      <c r="C264" s="7"/>
      <c r="D264" s="7"/>
      <c r="E264" s="7"/>
      <c r="F264" s="7"/>
      <c r="G264" s="7"/>
      <c r="H264" s="58" t="str">
        <f t="shared" si="2"/>
        <v/>
      </c>
      <c r="I264" s="58" t="str">
        <f t="shared" si="5"/>
        <v/>
      </c>
      <c r="J264" s="58" t="str">
        <f t="shared" si="6"/>
        <v/>
      </c>
      <c r="K264" s="58" t="str">
        <f t="shared" si="7"/>
        <v/>
      </c>
      <c r="L264" s="6" t="str">
        <f t="shared" si="4"/>
        <v/>
      </c>
      <c r="M264" s="60" t="str">
        <f t="shared" si="3"/>
        <v/>
      </c>
    </row>
    <row r="265">
      <c r="A265" s="56" t="str">
        <f t="shared" si="1"/>
        <v/>
      </c>
      <c r="B265" s="57"/>
      <c r="C265" s="7"/>
      <c r="D265" s="7"/>
      <c r="E265" s="7"/>
      <c r="F265" s="7"/>
      <c r="G265" s="7"/>
      <c r="H265" s="58" t="str">
        <f t="shared" si="2"/>
        <v/>
      </c>
      <c r="I265" s="58" t="str">
        <f t="shared" si="5"/>
        <v/>
      </c>
      <c r="J265" s="58" t="str">
        <f t="shared" si="6"/>
        <v/>
      </c>
      <c r="K265" s="58" t="str">
        <f t="shared" si="7"/>
        <v/>
      </c>
      <c r="L265" s="6" t="str">
        <f t="shared" si="4"/>
        <v/>
      </c>
      <c r="M265" s="60" t="str">
        <f t="shared" si="3"/>
        <v/>
      </c>
    </row>
    <row r="266">
      <c r="A266" s="56" t="str">
        <f t="shared" si="1"/>
        <v/>
      </c>
      <c r="B266" s="57"/>
      <c r="C266" s="7"/>
      <c r="D266" s="7"/>
      <c r="E266" s="7"/>
      <c r="F266" s="7"/>
      <c r="G266" s="7"/>
      <c r="H266" s="58" t="str">
        <f t="shared" si="2"/>
        <v/>
      </c>
      <c r="I266" s="58" t="str">
        <f t="shared" si="5"/>
        <v/>
      </c>
      <c r="J266" s="58" t="str">
        <f t="shared" si="6"/>
        <v/>
      </c>
      <c r="K266" s="58" t="str">
        <f t="shared" si="7"/>
        <v/>
      </c>
      <c r="L266" s="6" t="str">
        <f t="shared" si="4"/>
        <v/>
      </c>
      <c r="M266" s="60" t="str">
        <f t="shared" si="3"/>
        <v/>
      </c>
    </row>
    <row r="267">
      <c r="A267" s="56" t="str">
        <f t="shared" si="1"/>
        <v/>
      </c>
      <c r="B267" s="57"/>
      <c r="C267" s="7"/>
      <c r="D267" s="7"/>
      <c r="E267" s="7"/>
      <c r="F267" s="7"/>
      <c r="G267" s="7"/>
      <c r="H267" s="58" t="str">
        <f t="shared" si="2"/>
        <v/>
      </c>
      <c r="I267" s="58" t="str">
        <f t="shared" si="5"/>
        <v/>
      </c>
      <c r="J267" s="58" t="str">
        <f t="shared" si="6"/>
        <v/>
      </c>
      <c r="K267" s="58" t="str">
        <f t="shared" si="7"/>
        <v/>
      </c>
      <c r="L267" s="6" t="str">
        <f t="shared" si="4"/>
        <v/>
      </c>
      <c r="M267" s="60" t="str">
        <f t="shared" si="3"/>
        <v/>
      </c>
    </row>
    <row r="268">
      <c r="A268" s="56" t="str">
        <f t="shared" si="1"/>
        <v/>
      </c>
      <c r="B268" s="57"/>
      <c r="C268" s="7"/>
      <c r="D268" s="7"/>
      <c r="E268" s="7"/>
      <c r="F268" s="7"/>
      <c r="G268" s="7"/>
      <c r="H268" s="58" t="str">
        <f t="shared" si="2"/>
        <v/>
      </c>
      <c r="I268" s="58" t="str">
        <f t="shared" si="5"/>
        <v/>
      </c>
      <c r="J268" s="58" t="str">
        <f t="shared" si="6"/>
        <v/>
      </c>
      <c r="K268" s="58" t="str">
        <f t="shared" si="7"/>
        <v/>
      </c>
      <c r="L268" s="6" t="str">
        <f t="shared" si="4"/>
        <v/>
      </c>
      <c r="M268" s="60" t="str">
        <f t="shared" si="3"/>
        <v/>
      </c>
    </row>
    <row r="269">
      <c r="A269" s="56" t="str">
        <f t="shared" si="1"/>
        <v/>
      </c>
      <c r="B269" s="57"/>
      <c r="C269" s="7"/>
      <c r="D269" s="7"/>
      <c r="E269" s="7"/>
      <c r="F269" s="7"/>
      <c r="G269" s="7"/>
      <c r="H269" s="58" t="str">
        <f t="shared" si="2"/>
        <v/>
      </c>
      <c r="I269" s="58" t="str">
        <f t="shared" si="5"/>
        <v/>
      </c>
      <c r="J269" s="58" t="str">
        <f t="shared" si="6"/>
        <v/>
      </c>
      <c r="K269" s="58" t="str">
        <f t="shared" si="7"/>
        <v/>
      </c>
      <c r="L269" s="6" t="str">
        <f t="shared" si="4"/>
        <v/>
      </c>
      <c r="M269" s="60" t="str">
        <f t="shared" si="3"/>
        <v/>
      </c>
    </row>
    <row r="270">
      <c r="A270" s="56" t="str">
        <f t="shared" si="1"/>
        <v/>
      </c>
      <c r="B270" s="57"/>
      <c r="C270" s="7"/>
      <c r="D270" s="7"/>
      <c r="E270" s="7"/>
      <c r="F270" s="7"/>
      <c r="G270" s="7"/>
      <c r="H270" s="58" t="str">
        <f t="shared" si="2"/>
        <v/>
      </c>
      <c r="I270" s="58" t="str">
        <f t="shared" si="5"/>
        <v/>
      </c>
      <c r="J270" s="58" t="str">
        <f t="shared" si="6"/>
        <v/>
      </c>
      <c r="K270" s="58" t="str">
        <f t="shared" si="7"/>
        <v/>
      </c>
      <c r="L270" s="6" t="str">
        <f t="shared" si="4"/>
        <v/>
      </c>
      <c r="M270" s="60" t="str">
        <f t="shared" si="3"/>
        <v/>
      </c>
    </row>
    <row r="271">
      <c r="A271" s="56" t="str">
        <f t="shared" si="1"/>
        <v/>
      </c>
      <c r="B271" s="57"/>
      <c r="C271" s="7"/>
      <c r="D271" s="7"/>
      <c r="E271" s="7"/>
      <c r="F271" s="7"/>
      <c r="G271" s="7"/>
      <c r="H271" s="58" t="str">
        <f t="shared" si="2"/>
        <v/>
      </c>
      <c r="I271" s="58" t="str">
        <f t="shared" si="5"/>
        <v/>
      </c>
      <c r="J271" s="58" t="str">
        <f t="shared" si="6"/>
        <v/>
      </c>
      <c r="K271" s="58" t="str">
        <f t="shared" si="7"/>
        <v/>
      </c>
      <c r="L271" s="6" t="str">
        <f t="shared" si="4"/>
        <v/>
      </c>
      <c r="M271" s="60" t="str">
        <f t="shared" si="3"/>
        <v/>
      </c>
    </row>
    <row r="272">
      <c r="A272" s="56" t="str">
        <f t="shared" si="1"/>
        <v/>
      </c>
      <c r="B272" s="57"/>
      <c r="C272" s="7"/>
      <c r="D272" s="7"/>
      <c r="E272" s="7"/>
      <c r="F272" s="7"/>
      <c r="G272" s="7"/>
      <c r="H272" s="58" t="str">
        <f t="shared" si="2"/>
        <v/>
      </c>
      <c r="I272" s="58" t="str">
        <f t="shared" si="5"/>
        <v/>
      </c>
      <c r="J272" s="58" t="str">
        <f t="shared" si="6"/>
        <v/>
      </c>
      <c r="K272" s="58" t="str">
        <f t="shared" si="7"/>
        <v/>
      </c>
      <c r="L272" s="6" t="str">
        <f t="shared" si="4"/>
        <v/>
      </c>
      <c r="M272" s="60" t="str">
        <f t="shared" si="3"/>
        <v/>
      </c>
    </row>
    <row r="273">
      <c r="A273" s="56" t="str">
        <f t="shared" si="1"/>
        <v/>
      </c>
      <c r="B273" s="57"/>
      <c r="C273" s="7"/>
      <c r="D273" s="7"/>
      <c r="E273" s="7"/>
      <c r="F273" s="7"/>
      <c r="G273" s="7"/>
      <c r="H273" s="58" t="str">
        <f t="shared" si="2"/>
        <v/>
      </c>
      <c r="I273" s="58" t="str">
        <f t="shared" si="5"/>
        <v/>
      </c>
      <c r="J273" s="58" t="str">
        <f t="shared" si="6"/>
        <v/>
      </c>
      <c r="K273" s="58" t="str">
        <f t="shared" si="7"/>
        <v/>
      </c>
      <c r="L273" s="6" t="str">
        <f t="shared" si="4"/>
        <v/>
      </c>
      <c r="M273" s="60" t="str">
        <f t="shared" si="3"/>
        <v/>
      </c>
    </row>
    <row r="274">
      <c r="A274" s="56" t="str">
        <f t="shared" si="1"/>
        <v/>
      </c>
      <c r="B274" s="57"/>
      <c r="C274" s="7"/>
      <c r="D274" s="7"/>
      <c r="E274" s="7"/>
      <c r="F274" s="7"/>
      <c r="G274" s="7"/>
      <c r="H274" s="58" t="str">
        <f t="shared" si="2"/>
        <v/>
      </c>
      <c r="I274" s="58" t="str">
        <f t="shared" si="5"/>
        <v/>
      </c>
      <c r="J274" s="58" t="str">
        <f t="shared" si="6"/>
        <v/>
      </c>
      <c r="K274" s="58" t="str">
        <f t="shared" si="7"/>
        <v/>
      </c>
      <c r="L274" s="6" t="str">
        <f t="shared" si="4"/>
        <v/>
      </c>
      <c r="M274" s="60" t="str">
        <f t="shared" si="3"/>
        <v/>
      </c>
    </row>
    <row r="275">
      <c r="A275" s="56" t="str">
        <f t="shared" si="1"/>
        <v/>
      </c>
      <c r="B275" s="57"/>
      <c r="C275" s="7"/>
      <c r="D275" s="7"/>
      <c r="E275" s="7"/>
      <c r="F275" s="7"/>
      <c r="G275" s="7"/>
      <c r="H275" s="58" t="str">
        <f t="shared" si="2"/>
        <v/>
      </c>
      <c r="I275" s="58" t="str">
        <f t="shared" si="5"/>
        <v/>
      </c>
      <c r="J275" s="58" t="str">
        <f t="shared" si="6"/>
        <v/>
      </c>
      <c r="K275" s="58" t="str">
        <f t="shared" si="7"/>
        <v/>
      </c>
      <c r="L275" s="6" t="str">
        <f t="shared" si="4"/>
        <v/>
      </c>
      <c r="M275" s="60" t="str">
        <f t="shared" si="3"/>
        <v/>
      </c>
    </row>
    <row r="276">
      <c r="A276" s="56" t="str">
        <f t="shared" si="1"/>
        <v/>
      </c>
      <c r="B276" s="57"/>
      <c r="C276" s="7"/>
      <c r="D276" s="7"/>
      <c r="E276" s="7"/>
      <c r="F276" s="7"/>
      <c r="G276" s="7"/>
      <c r="H276" s="58" t="str">
        <f t="shared" si="2"/>
        <v/>
      </c>
      <c r="I276" s="58" t="str">
        <f t="shared" si="5"/>
        <v/>
      </c>
      <c r="J276" s="58" t="str">
        <f t="shared" si="6"/>
        <v/>
      </c>
      <c r="K276" s="58" t="str">
        <f t="shared" si="7"/>
        <v/>
      </c>
      <c r="L276" s="6" t="str">
        <f t="shared" si="4"/>
        <v/>
      </c>
      <c r="M276" s="60" t="str">
        <f t="shared" si="3"/>
        <v/>
      </c>
    </row>
    <row r="277">
      <c r="A277" s="56" t="str">
        <f t="shared" si="1"/>
        <v/>
      </c>
      <c r="B277" s="57"/>
      <c r="C277" s="7"/>
      <c r="D277" s="7"/>
      <c r="E277" s="7"/>
      <c r="F277" s="7"/>
      <c r="G277" s="7"/>
      <c r="H277" s="58" t="str">
        <f t="shared" si="2"/>
        <v/>
      </c>
      <c r="I277" s="58" t="str">
        <f t="shared" si="5"/>
        <v/>
      </c>
      <c r="J277" s="58" t="str">
        <f t="shared" si="6"/>
        <v/>
      </c>
      <c r="K277" s="58" t="str">
        <f t="shared" si="7"/>
        <v/>
      </c>
      <c r="L277" s="6" t="str">
        <f t="shared" si="4"/>
        <v/>
      </c>
      <c r="M277" s="60" t="str">
        <f t="shared" si="3"/>
        <v/>
      </c>
    </row>
    <row r="278">
      <c r="A278" s="56" t="str">
        <f t="shared" si="1"/>
        <v/>
      </c>
      <c r="B278" s="57"/>
      <c r="C278" s="7"/>
      <c r="D278" s="7"/>
      <c r="E278" s="7"/>
      <c r="F278" s="7"/>
      <c r="G278" s="7"/>
      <c r="H278" s="58" t="str">
        <f t="shared" si="2"/>
        <v/>
      </c>
      <c r="I278" s="58" t="str">
        <f t="shared" si="5"/>
        <v/>
      </c>
      <c r="J278" s="58" t="str">
        <f t="shared" si="6"/>
        <v/>
      </c>
      <c r="K278" s="58" t="str">
        <f t="shared" si="7"/>
        <v/>
      </c>
      <c r="L278" s="6" t="str">
        <f t="shared" si="4"/>
        <v/>
      </c>
      <c r="M278" s="60" t="str">
        <f t="shared" si="3"/>
        <v/>
      </c>
    </row>
    <row r="279">
      <c r="A279" s="56" t="str">
        <f t="shared" si="1"/>
        <v/>
      </c>
      <c r="B279" s="57"/>
      <c r="C279" s="7"/>
      <c r="D279" s="7"/>
      <c r="E279" s="7"/>
      <c r="F279" s="7"/>
      <c r="G279" s="7"/>
      <c r="H279" s="58" t="str">
        <f t="shared" si="2"/>
        <v/>
      </c>
      <c r="I279" s="58" t="str">
        <f t="shared" si="5"/>
        <v/>
      </c>
      <c r="J279" s="58" t="str">
        <f t="shared" si="6"/>
        <v/>
      </c>
      <c r="K279" s="58" t="str">
        <f t="shared" si="7"/>
        <v/>
      </c>
      <c r="L279" s="6" t="str">
        <f t="shared" si="4"/>
        <v/>
      </c>
      <c r="M279" s="60" t="str">
        <f t="shared" si="3"/>
        <v/>
      </c>
    </row>
    <row r="280">
      <c r="A280" s="56" t="str">
        <f t="shared" si="1"/>
        <v/>
      </c>
      <c r="B280" s="57"/>
      <c r="C280" s="7"/>
      <c r="D280" s="7"/>
      <c r="E280" s="7"/>
      <c r="F280" s="7"/>
      <c r="G280" s="7"/>
      <c r="H280" s="58" t="str">
        <f t="shared" si="2"/>
        <v/>
      </c>
      <c r="I280" s="58" t="str">
        <f t="shared" si="5"/>
        <v/>
      </c>
      <c r="J280" s="58" t="str">
        <f t="shared" si="6"/>
        <v/>
      </c>
      <c r="K280" s="58" t="str">
        <f t="shared" si="7"/>
        <v/>
      </c>
      <c r="L280" s="6" t="str">
        <f t="shared" si="4"/>
        <v/>
      </c>
      <c r="M280" s="60" t="str">
        <f t="shared" si="3"/>
        <v/>
      </c>
    </row>
    <row r="281">
      <c r="A281" s="56" t="str">
        <f t="shared" si="1"/>
        <v/>
      </c>
      <c r="B281" s="57"/>
      <c r="C281" s="7"/>
      <c r="D281" s="7"/>
      <c r="E281" s="7"/>
      <c r="F281" s="7"/>
      <c r="G281" s="7"/>
      <c r="H281" s="58" t="str">
        <f t="shared" si="2"/>
        <v/>
      </c>
      <c r="I281" s="58" t="str">
        <f t="shared" si="5"/>
        <v/>
      </c>
      <c r="J281" s="58" t="str">
        <f t="shared" si="6"/>
        <v/>
      </c>
      <c r="K281" s="58" t="str">
        <f t="shared" si="7"/>
        <v/>
      </c>
      <c r="L281" s="6" t="str">
        <f t="shared" si="4"/>
        <v/>
      </c>
      <c r="M281" s="60" t="str">
        <f t="shared" si="3"/>
        <v/>
      </c>
    </row>
    <row r="282">
      <c r="A282" s="56" t="str">
        <f t="shared" si="1"/>
        <v/>
      </c>
      <c r="B282" s="57"/>
      <c r="C282" s="7"/>
      <c r="D282" s="7"/>
      <c r="E282" s="7"/>
      <c r="F282" s="7"/>
      <c r="G282" s="7"/>
      <c r="H282" s="58" t="str">
        <f t="shared" si="2"/>
        <v/>
      </c>
      <c r="I282" s="58" t="str">
        <f t="shared" si="5"/>
        <v/>
      </c>
      <c r="J282" s="58" t="str">
        <f t="shared" si="6"/>
        <v/>
      </c>
      <c r="K282" s="58" t="str">
        <f t="shared" si="7"/>
        <v/>
      </c>
      <c r="L282" s="6" t="str">
        <f t="shared" si="4"/>
        <v/>
      </c>
      <c r="M282" s="60" t="str">
        <f t="shared" si="3"/>
        <v/>
      </c>
    </row>
    <row r="283">
      <c r="A283" s="56" t="str">
        <f t="shared" si="1"/>
        <v/>
      </c>
      <c r="B283" s="57"/>
      <c r="C283" s="7"/>
      <c r="D283" s="7"/>
      <c r="E283" s="7"/>
      <c r="F283" s="7"/>
      <c r="G283" s="7"/>
      <c r="H283" s="58" t="str">
        <f t="shared" si="2"/>
        <v/>
      </c>
      <c r="I283" s="58" t="str">
        <f t="shared" si="5"/>
        <v/>
      </c>
      <c r="J283" s="58" t="str">
        <f t="shared" si="6"/>
        <v/>
      </c>
      <c r="K283" s="58" t="str">
        <f t="shared" si="7"/>
        <v/>
      </c>
      <c r="L283" s="6" t="str">
        <f t="shared" si="4"/>
        <v/>
      </c>
      <c r="M283" s="60" t="str">
        <f t="shared" si="3"/>
        <v/>
      </c>
    </row>
    <row r="284">
      <c r="A284" s="56" t="str">
        <f t="shared" si="1"/>
        <v/>
      </c>
      <c r="B284" s="57"/>
      <c r="C284" s="7"/>
      <c r="D284" s="7"/>
      <c r="E284" s="7"/>
      <c r="F284" s="7"/>
      <c r="G284" s="7"/>
      <c r="H284" s="58" t="str">
        <f t="shared" si="2"/>
        <v/>
      </c>
      <c r="I284" s="58" t="str">
        <f t="shared" si="5"/>
        <v/>
      </c>
      <c r="J284" s="58" t="str">
        <f t="shared" si="6"/>
        <v/>
      </c>
      <c r="K284" s="58" t="str">
        <f t="shared" si="7"/>
        <v/>
      </c>
      <c r="L284" s="6" t="str">
        <f t="shared" si="4"/>
        <v/>
      </c>
      <c r="M284" s="60" t="str">
        <f t="shared" si="3"/>
        <v/>
      </c>
    </row>
    <row r="285">
      <c r="A285" s="56" t="str">
        <f t="shared" si="1"/>
        <v/>
      </c>
      <c r="B285" s="57"/>
      <c r="C285" s="7"/>
      <c r="D285" s="7"/>
      <c r="E285" s="7"/>
      <c r="F285" s="7"/>
      <c r="G285" s="7"/>
      <c r="H285" s="58" t="str">
        <f t="shared" si="2"/>
        <v/>
      </c>
      <c r="I285" s="58" t="str">
        <f t="shared" si="5"/>
        <v/>
      </c>
      <c r="J285" s="58" t="str">
        <f t="shared" si="6"/>
        <v/>
      </c>
      <c r="K285" s="58" t="str">
        <f t="shared" si="7"/>
        <v/>
      </c>
      <c r="L285" s="6" t="str">
        <f t="shared" si="4"/>
        <v/>
      </c>
      <c r="M285" s="60" t="str">
        <f t="shared" si="3"/>
        <v/>
      </c>
    </row>
    <row r="286">
      <c r="A286" s="56" t="str">
        <f t="shared" si="1"/>
        <v/>
      </c>
      <c r="B286" s="57"/>
      <c r="C286" s="7"/>
      <c r="D286" s="7"/>
      <c r="E286" s="7"/>
      <c r="F286" s="7"/>
      <c r="G286" s="7"/>
      <c r="H286" s="58" t="str">
        <f t="shared" si="2"/>
        <v/>
      </c>
      <c r="I286" s="58" t="str">
        <f t="shared" si="5"/>
        <v/>
      </c>
      <c r="J286" s="58" t="str">
        <f t="shared" si="6"/>
        <v/>
      </c>
      <c r="K286" s="58" t="str">
        <f t="shared" si="7"/>
        <v/>
      </c>
      <c r="L286" s="6" t="str">
        <f t="shared" si="4"/>
        <v/>
      </c>
      <c r="M286" s="60" t="str">
        <f t="shared" si="3"/>
        <v/>
      </c>
    </row>
    <row r="287">
      <c r="A287" s="56" t="str">
        <f t="shared" si="1"/>
        <v/>
      </c>
      <c r="B287" s="57"/>
      <c r="C287" s="7"/>
      <c r="D287" s="7"/>
      <c r="E287" s="7"/>
      <c r="F287" s="7"/>
      <c r="G287" s="7"/>
      <c r="H287" s="58" t="str">
        <f t="shared" si="2"/>
        <v/>
      </c>
      <c r="I287" s="58" t="str">
        <f t="shared" si="5"/>
        <v/>
      </c>
      <c r="J287" s="58" t="str">
        <f t="shared" si="6"/>
        <v/>
      </c>
      <c r="K287" s="58" t="str">
        <f t="shared" si="7"/>
        <v/>
      </c>
      <c r="L287" s="6" t="str">
        <f t="shared" si="4"/>
        <v/>
      </c>
      <c r="M287" s="60" t="str">
        <f t="shared" si="3"/>
        <v/>
      </c>
    </row>
    <row r="288">
      <c r="A288" s="56" t="str">
        <f t="shared" si="1"/>
        <v/>
      </c>
      <c r="B288" s="57"/>
      <c r="C288" s="7"/>
      <c r="D288" s="7"/>
      <c r="E288" s="7"/>
      <c r="F288" s="7"/>
      <c r="G288" s="7"/>
      <c r="H288" s="58" t="str">
        <f t="shared" si="2"/>
        <v/>
      </c>
      <c r="I288" s="58" t="str">
        <f t="shared" si="5"/>
        <v/>
      </c>
      <c r="J288" s="58" t="str">
        <f t="shared" si="6"/>
        <v/>
      </c>
      <c r="K288" s="58" t="str">
        <f t="shared" si="7"/>
        <v/>
      </c>
      <c r="L288" s="6" t="str">
        <f t="shared" si="4"/>
        <v/>
      </c>
      <c r="M288" s="60" t="str">
        <f t="shared" si="3"/>
        <v/>
      </c>
    </row>
    <row r="289">
      <c r="A289" s="56" t="str">
        <f t="shared" si="1"/>
        <v/>
      </c>
      <c r="B289" s="57"/>
      <c r="C289" s="7"/>
      <c r="D289" s="7"/>
      <c r="E289" s="7"/>
      <c r="F289" s="7"/>
      <c r="G289" s="7"/>
      <c r="H289" s="58" t="str">
        <f t="shared" si="2"/>
        <v/>
      </c>
      <c r="I289" s="58" t="str">
        <f t="shared" si="5"/>
        <v/>
      </c>
      <c r="J289" s="58" t="str">
        <f t="shared" si="6"/>
        <v/>
      </c>
      <c r="K289" s="58" t="str">
        <f t="shared" si="7"/>
        <v/>
      </c>
      <c r="L289" s="6" t="str">
        <f t="shared" si="4"/>
        <v/>
      </c>
      <c r="M289" s="60" t="str">
        <f t="shared" si="3"/>
        <v/>
      </c>
    </row>
    <row r="290">
      <c r="A290" s="56" t="str">
        <f t="shared" si="1"/>
        <v/>
      </c>
      <c r="B290" s="57"/>
      <c r="C290" s="7"/>
      <c r="D290" s="7"/>
      <c r="E290" s="7"/>
      <c r="F290" s="7"/>
      <c r="G290" s="7"/>
      <c r="H290" s="58" t="str">
        <f t="shared" si="2"/>
        <v/>
      </c>
      <c r="I290" s="58" t="str">
        <f t="shared" si="5"/>
        <v/>
      </c>
      <c r="J290" s="58" t="str">
        <f t="shared" si="6"/>
        <v/>
      </c>
      <c r="K290" s="58" t="str">
        <f t="shared" si="7"/>
        <v/>
      </c>
      <c r="L290" s="6" t="str">
        <f t="shared" si="4"/>
        <v/>
      </c>
      <c r="M290" s="60" t="str">
        <f t="shared" si="3"/>
        <v/>
      </c>
    </row>
    <row r="291">
      <c r="A291" s="56" t="str">
        <f t="shared" si="1"/>
        <v/>
      </c>
      <c r="B291" s="57"/>
      <c r="C291" s="7"/>
      <c r="D291" s="7"/>
      <c r="E291" s="7"/>
      <c r="F291" s="7"/>
      <c r="G291" s="7"/>
      <c r="H291" s="58" t="str">
        <f t="shared" si="2"/>
        <v/>
      </c>
      <c r="I291" s="58" t="str">
        <f t="shared" si="5"/>
        <v/>
      </c>
      <c r="J291" s="58" t="str">
        <f t="shared" si="6"/>
        <v/>
      </c>
      <c r="K291" s="58" t="str">
        <f t="shared" si="7"/>
        <v/>
      </c>
      <c r="L291" s="6" t="str">
        <f t="shared" si="4"/>
        <v/>
      </c>
      <c r="M291" s="60" t="str">
        <f t="shared" si="3"/>
        <v/>
      </c>
    </row>
    <row r="292">
      <c r="A292" s="56" t="str">
        <f t="shared" si="1"/>
        <v/>
      </c>
      <c r="B292" s="57"/>
      <c r="C292" s="7"/>
      <c r="D292" s="7"/>
      <c r="E292" s="7"/>
      <c r="F292" s="7"/>
      <c r="G292" s="7"/>
      <c r="H292" s="58" t="str">
        <f t="shared" si="2"/>
        <v/>
      </c>
      <c r="I292" s="58" t="str">
        <f t="shared" si="5"/>
        <v/>
      </c>
      <c r="J292" s="58" t="str">
        <f t="shared" si="6"/>
        <v/>
      </c>
      <c r="K292" s="58" t="str">
        <f t="shared" si="7"/>
        <v/>
      </c>
      <c r="L292" s="6" t="str">
        <f t="shared" si="4"/>
        <v/>
      </c>
      <c r="M292" s="60" t="str">
        <f t="shared" si="3"/>
        <v/>
      </c>
    </row>
    <row r="293">
      <c r="A293" s="56" t="str">
        <f t="shared" si="1"/>
        <v/>
      </c>
      <c r="B293" s="57"/>
      <c r="C293" s="7"/>
      <c r="D293" s="7"/>
      <c r="E293" s="7"/>
      <c r="F293" s="7"/>
      <c r="G293" s="7"/>
      <c r="H293" s="58" t="str">
        <f t="shared" si="2"/>
        <v/>
      </c>
      <c r="I293" s="58" t="str">
        <f t="shared" si="5"/>
        <v/>
      </c>
      <c r="J293" s="58" t="str">
        <f t="shared" si="6"/>
        <v/>
      </c>
      <c r="K293" s="58" t="str">
        <f t="shared" si="7"/>
        <v/>
      </c>
      <c r="L293" s="6" t="str">
        <f t="shared" si="4"/>
        <v/>
      </c>
      <c r="M293" s="60" t="str">
        <f t="shared" si="3"/>
        <v/>
      </c>
    </row>
    <row r="294">
      <c r="A294" s="56" t="str">
        <f t="shared" si="1"/>
        <v/>
      </c>
      <c r="B294" s="57"/>
      <c r="C294" s="7"/>
      <c r="D294" s="7"/>
      <c r="E294" s="7"/>
      <c r="F294" s="7"/>
      <c r="G294" s="7"/>
      <c r="H294" s="58" t="str">
        <f t="shared" si="2"/>
        <v/>
      </c>
      <c r="I294" s="58" t="str">
        <f t="shared" si="5"/>
        <v/>
      </c>
      <c r="J294" s="58" t="str">
        <f t="shared" si="6"/>
        <v/>
      </c>
      <c r="K294" s="58" t="str">
        <f t="shared" si="7"/>
        <v/>
      </c>
      <c r="L294" s="6" t="str">
        <f t="shared" si="4"/>
        <v/>
      </c>
      <c r="M294" s="60" t="str">
        <f t="shared" si="3"/>
        <v/>
      </c>
    </row>
    <row r="295">
      <c r="A295" s="56" t="str">
        <f t="shared" si="1"/>
        <v/>
      </c>
      <c r="B295" s="57"/>
      <c r="C295" s="7"/>
      <c r="D295" s="7"/>
      <c r="E295" s="7"/>
      <c r="F295" s="7"/>
      <c r="G295" s="7"/>
      <c r="H295" s="58" t="str">
        <f t="shared" si="2"/>
        <v/>
      </c>
      <c r="I295" s="58" t="str">
        <f t="shared" si="5"/>
        <v/>
      </c>
      <c r="J295" s="58" t="str">
        <f t="shared" si="6"/>
        <v/>
      </c>
      <c r="K295" s="58" t="str">
        <f t="shared" si="7"/>
        <v/>
      </c>
      <c r="L295" s="6" t="str">
        <f t="shared" si="4"/>
        <v/>
      </c>
      <c r="M295" s="60" t="str">
        <f t="shared" si="3"/>
        <v/>
      </c>
    </row>
    <row r="296">
      <c r="A296" s="56" t="str">
        <f t="shared" si="1"/>
        <v/>
      </c>
      <c r="B296" s="57"/>
      <c r="C296" s="7"/>
      <c r="D296" s="7"/>
      <c r="E296" s="7"/>
      <c r="F296" s="7"/>
      <c r="G296" s="7"/>
      <c r="H296" s="58" t="str">
        <f t="shared" si="2"/>
        <v/>
      </c>
      <c r="I296" s="58" t="str">
        <f t="shared" si="5"/>
        <v/>
      </c>
      <c r="J296" s="58" t="str">
        <f t="shared" si="6"/>
        <v/>
      </c>
      <c r="K296" s="58" t="str">
        <f t="shared" si="7"/>
        <v/>
      </c>
      <c r="L296" s="6" t="str">
        <f t="shared" si="4"/>
        <v/>
      </c>
      <c r="M296" s="60" t="str">
        <f t="shared" si="3"/>
        <v/>
      </c>
    </row>
    <row r="297">
      <c r="A297" s="56" t="str">
        <f t="shared" si="1"/>
        <v/>
      </c>
      <c r="B297" s="57"/>
      <c r="C297" s="7"/>
      <c r="D297" s="7"/>
      <c r="E297" s="7"/>
      <c r="F297" s="7"/>
      <c r="G297" s="7"/>
      <c r="H297" s="58" t="str">
        <f t="shared" si="2"/>
        <v/>
      </c>
      <c r="I297" s="58" t="str">
        <f t="shared" si="5"/>
        <v/>
      </c>
      <c r="J297" s="58" t="str">
        <f t="shared" si="6"/>
        <v/>
      </c>
      <c r="K297" s="58" t="str">
        <f t="shared" si="7"/>
        <v/>
      </c>
      <c r="L297" s="6" t="str">
        <f t="shared" si="4"/>
        <v/>
      </c>
      <c r="M297" s="60" t="str">
        <f t="shared" si="3"/>
        <v/>
      </c>
    </row>
    <row r="298">
      <c r="A298" s="56" t="str">
        <f t="shared" si="1"/>
        <v/>
      </c>
      <c r="B298" s="57"/>
      <c r="C298" s="7"/>
      <c r="D298" s="7"/>
      <c r="E298" s="7"/>
      <c r="F298" s="7"/>
      <c r="G298" s="7"/>
      <c r="H298" s="58" t="str">
        <f t="shared" si="2"/>
        <v/>
      </c>
      <c r="I298" s="58" t="str">
        <f t="shared" si="5"/>
        <v/>
      </c>
      <c r="J298" s="58" t="str">
        <f t="shared" si="6"/>
        <v/>
      </c>
      <c r="K298" s="58" t="str">
        <f t="shared" si="7"/>
        <v/>
      </c>
      <c r="L298" s="6" t="str">
        <f t="shared" si="4"/>
        <v/>
      </c>
      <c r="M298" s="60" t="str">
        <f t="shared" si="3"/>
        <v/>
      </c>
    </row>
    <row r="299">
      <c r="A299" s="56" t="str">
        <f t="shared" si="1"/>
        <v/>
      </c>
      <c r="B299" s="57"/>
      <c r="C299" s="7"/>
      <c r="D299" s="7"/>
      <c r="E299" s="7"/>
      <c r="F299" s="7"/>
      <c r="G299" s="7"/>
      <c r="H299" s="58" t="str">
        <f t="shared" si="2"/>
        <v/>
      </c>
      <c r="I299" s="58" t="str">
        <f t="shared" si="5"/>
        <v/>
      </c>
      <c r="J299" s="58" t="str">
        <f t="shared" si="6"/>
        <v/>
      </c>
      <c r="K299" s="58" t="str">
        <f t="shared" si="7"/>
        <v/>
      </c>
      <c r="L299" s="6" t="str">
        <f t="shared" si="4"/>
        <v/>
      </c>
      <c r="M299" s="60" t="str">
        <f t="shared" si="3"/>
        <v/>
      </c>
    </row>
    <row r="300">
      <c r="A300" s="56" t="str">
        <f t="shared" si="1"/>
        <v/>
      </c>
      <c r="B300" s="57"/>
      <c r="C300" s="7"/>
      <c r="D300" s="7"/>
      <c r="E300" s="7"/>
      <c r="F300" s="7"/>
      <c r="G300" s="7"/>
      <c r="H300" s="58" t="str">
        <f t="shared" si="2"/>
        <v/>
      </c>
      <c r="I300" s="58" t="str">
        <f t="shared" si="5"/>
        <v/>
      </c>
      <c r="J300" s="58" t="str">
        <f t="shared" si="6"/>
        <v/>
      </c>
      <c r="K300" s="58" t="str">
        <f t="shared" si="7"/>
        <v/>
      </c>
      <c r="L300" s="6" t="str">
        <f t="shared" si="4"/>
        <v/>
      </c>
      <c r="M300" s="60" t="str">
        <f t="shared" si="3"/>
        <v/>
      </c>
    </row>
    <row r="301">
      <c r="A301" s="56" t="str">
        <f t="shared" si="1"/>
        <v/>
      </c>
      <c r="B301" s="57"/>
      <c r="C301" s="7"/>
      <c r="D301" s="7"/>
      <c r="E301" s="7"/>
      <c r="F301" s="7"/>
      <c r="G301" s="7"/>
      <c r="H301" s="58" t="str">
        <f t="shared" si="2"/>
        <v/>
      </c>
      <c r="I301" s="58" t="str">
        <f t="shared" si="5"/>
        <v/>
      </c>
      <c r="J301" s="58" t="str">
        <f t="shared" si="6"/>
        <v/>
      </c>
      <c r="K301" s="58" t="str">
        <f t="shared" si="7"/>
        <v/>
      </c>
      <c r="L301" s="6" t="str">
        <f t="shared" si="4"/>
        <v/>
      </c>
      <c r="M301" s="60" t="str">
        <f t="shared" si="3"/>
        <v/>
      </c>
    </row>
    <row r="302">
      <c r="A302" s="56" t="str">
        <f t="shared" si="1"/>
        <v/>
      </c>
      <c r="B302" s="57"/>
      <c r="C302" s="7"/>
      <c r="D302" s="7"/>
      <c r="E302" s="7"/>
      <c r="F302" s="7"/>
      <c r="G302" s="7"/>
      <c r="H302" s="58" t="str">
        <f t="shared" si="2"/>
        <v/>
      </c>
      <c r="I302" s="58" t="str">
        <f t="shared" si="5"/>
        <v/>
      </c>
      <c r="J302" s="58" t="str">
        <f t="shared" si="6"/>
        <v/>
      </c>
      <c r="K302" s="58" t="str">
        <f t="shared" si="7"/>
        <v/>
      </c>
      <c r="L302" s="6" t="str">
        <f t="shared" si="4"/>
        <v/>
      </c>
      <c r="M302" s="60" t="str">
        <f t="shared" si="3"/>
        <v/>
      </c>
    </row>
    <row r="303">
      <c r="A303" s="56" t="str">
        <f t="shared" si="1"/>
        <v/>
      </c>
      <c r="B303" s="57"/>
      <c r="C303" s="7"/>
      <c r="D303" s="7"/>
      <c r="E303" s="7"/>
      <c r="F303" s="7"/>
      <c r="G303" s="7"/>
      <c r="H303" s="58" t="str">
        <f t="shared" si="2"/>
        <v/>
      </c>
      <c r="I303" s="58" t="str">
        <f t="shared" si="5"/>
        <v/>
      </c>
      <c r="J303" s="58" t="str">
        <f t="shared" si="6"/>
        <v/>
      </c>
      <c r="K303" s="58" t="str">
        <f t="shared" si="7"/>
        <v/>
      </c>
      <c r="L303" s="6" t="str">
        <f t="shared" si="4"/>
        <v/>
      </c>
      <c r="M303" s="60" t="str">
        <f t="shared" si="3"/>
        <v/>
      </c>
    </row>
    <row r="304">
      <c r="A304" s="56" t="str">
        <f t="shared" si="1"/>
        <v/>
      </c>
      <c r="B304" s="57"/>
      <c r="C304" s="7"/>
      <c r="D304" s="7"/>
      <c r="E304" s="7"/>
      <c r="F304" s="7"/>
      <c r="G304" s="7"/>
      <c r="H304" s="58" t="str">
        <f t="shared" si="2"/>
        <v/>
      </c>
      <c r="I304" s="58" t="str">
        <f t="shared" si="5"/>
        <v/>
      </c>
      <c r="J304" s="58" t="str">
        <f t="shared" si="6"/>
        <v/>
      </c>
      <c r="K304" s="58" t="str">
        <f t="shared" si="7"/>
        <v/>
      </c>
      <c r="L304" s="6" t="str">
        <f t="shared" si="4"/>
        <v/>
      </c>
      <c r="M304" s="60" t="str">
        <f t="shared" si="3"/>
        <v/>
      </c>
    </row>
    <row r="305">
      <c r="A305" s="56" t="str">
        <f t="shared" si="1"/>
        <v/>
      </c>
      <c r="B305" s="57"/>
      <c r="C305" s="7"/>
      <c r="D305" s="7"/>
      <c r="E305" s="7"/>
      <c r="F305" s="7"/>
      <c r="G305" s="7"/>
      <c r="H305" s="58" t="str">
        <f t="shared" si="2"/>
        <v/>
      </c>
      <c r="I305" s="58" t="str">
        <f t="shared" si="5"/>
        <v/>
      </c>
      <c r="J305" s="58" t="str">
        <f t="shared" si="6"/>
        <v/>
      </c>
      <c r="K305" s="58" t="str">
        <f t="shared" si="7"/>
        <v/>
      </c>
      <c r="L305" s="6" t="str">
        <f t="shared" si="4"/>
        <v/>
      </c>
      <c r="M305" s="60" t="str">
        <f t="shared" si="3"/>
        <v/>
      </c>
    </row>
    <row r="306">
      <c r="A306" s="56" t="str">
        <f t="shared" si="1"/>
        <v/>
      </c>
      <c r="B306" s="57"/>
      <c r="C306" s="7"/>
      <c r="D306" s="7"/>
      <c r="E306" s="7"/>
      <c r="F306" s="7"/>
      <c r="G306" s="7"/>
      <c r="H306" s="58" t="str">
        <f t="shared" si="2"/>
        <v/>
      </c>
      <c r="I306" s="58" t="str">
        <f t="shared" si="5"/>
        <v/>
      </c>
      <c r="J306" s="58" t="str">
        <f t="shared" si="6"/>
        <v/>
      </c>
      <c r="K306" s="58" t="str">
        <f t="shared" si="7"/>
        <v/>
      </c>
      <c r="L306" s="6" t="str">
        <f t="shared" si="4"/>
        <v/>
      </c>
      <c r="M306" s="60" t="str">
        <f t="shared" si="3"/>
        <v/>
      </c>
    </row>
    <row r="307">
      <c r="A307" s="56" t="str">
        <f t="shared" si="1"/>
        <v/>
      </c>
      <c r="B307" s="57"/>
      <c r="C307" s="7"/>
      <c r="D307" s="7"/>
      <c r="E307" s="7"/>
      <c r="F307" s="7"/>
      <c r="G307" s="7"/>
      <c r="H307" s="58" t="str">
        <f t="shared" si="2"/>
        <v/>
      </c>
      <c r="I307" s="58" t="str">
        <f t="shared" si="5"/>
        <v/>
      </c>
      <c r="J307" s="58" t="str">
        <f t="shared" si="6"/>
        <v/>
      </c>
      <c r="K307" s="58" t="str">
        <f t="shared" si="7"/>
        <v/>
      </c>
      <c r="L307" s="6" t="str">
        <f t="shared" si="4"/>
        <v/>
      </c>
      <c r="M307" s="60" t="str">
        <f t="shared" si="3"/>
        <v/>
      </c>
    </row>
    <row r="308">
      <c r="A308" s="56" t="str">
        <f t="shared" si="1"/>
        <v/>
      </c>
      <c r="B308" s="57"/>
      <c r="C308" s="7"/>
      <c r="D308" s="7"/>
      <c r="E308" s="7"/>
      <c r="F308" s="7"/>
      <c r="G308" s="7"/>
      <c r="H308" s="58" t="str">
        <f t="shared" si="2"/>
        <v/>
      </c>
      <c r="I308" s="58" t="str">
        <f t="shared" si="5"/>
        <v/>
      </c>
      <c r="J308" s="58" t="str">
        <f t="shared" si="6"/>
        <v/>
      </c>
      <c r="K308" s="58" t="str">
        <f t="shared" si="7"/>
        <v/>
      </c>
      <c r="L308" s="6" t="str">
        <f t="shared" si="4"/>
        <v/>
      </c>
      <c r="M308" s="60" t="str">
        <f t="shared" si="3"/>
        <v/>
      </c>
    </row>
    <row r="309">
      <c r="A309" s="56" t="str">
        <f t="shared" si="1"/>
        <v/>
      </c>
      <c r="B309" s="57"/>
      <c r="C309" s="7"/>
      <c r="D309" s="7"/>
      <c r="E309" s="7"/>
      <c r="F309" s="7"/>
      <c r="G309" s="7"/>
      <c r="H309" s="58" t="str">
        <f t="shared" si="2"/>
        <v/>
      </c>
      <c r="I309" s="58" t="str">
        <f t="shared" si="5"/>
        <v/>
      </c>
      <c r="J309" s="58" t="str">
        <f t="shared" si="6"/>
        <v/>
      </c>
      <c r="K309" s="58" t="str">
        <f t="shared" si="7"/>
        <v/>
      </c>
      <c r="L309" s="6" t="str">
        <f t="shared" si="4"/>
        <v/>
      </c>
      <c r="M309" s="60" t="str">
        <f t="shared" si="3"/>
        <v/>
      </c>
    </row>
    <row r="310">
      <c r="A310" s="56" t="str">
        <f t="shared" si="1"/>
        <v/>
      </c>
      <c r="B310" s="57"/>
      <c r="C310" s="7"/>
      <c r="D310" s="7"/>
      <c r="E310" s="7"/>
      <c r="F310" s="7"/>
      <c r="G310" s="7"/>
      <c r="H310" s="58" t="str">
        <f t="shared" si="2"/>
        <v/>
      </c>
      <c r="I310" s="58" t="str">
        <f t="shared" si="5"/>
        <v/>
      </c>
      <c r="J310" s="58" t="str">
        <f t="shared" si="6"/>
        <v/>
      </c>
      <c r="K310" s="58" t="str">
        <f t="shared" si="7"/>
        <v/>
      </c>
      <c r="L310" s="6" t="str">
        <f t="shared" si="4"/>
        <v/>
      </c>
      <c r="M310" s="60" t="str">
        <f t="shared" si="3"/>
        <v/>
      </c>
    </row>
    <row r="311">
      <c r="A311" s="56" t="str">
        <f t="shared" si="1"/>
        <v/>
      </c>
      <c r="B311" s="57"/>
      <c r="C311" s="7"/>
      <c r="D311" s="7"/>
      <c r="E311" s="7"/>
      <c r="F311" s="7"/>
      <c r="G311" s="7"/>
      <c r="H311" s="58" t="str">
        <f t="shared" si="2"/>
        <v/>
      </c>
      <c r="I311" s="58" t="str">
        <f t="shared" si="5"/>
        <v/>
      </c>
      <c r="J311" s="58" t="str">
        <f t="shared" si="6"/>
        <v/>
      </c>
      <c r="K311" s="58" t="str">
        <f t="shared" si="7"/>
        <v/>
      </c>
      <c r="L311" s="6" t="str">
        <f t="shared" si="4"/>
        <v/>
      </c>
      <c r="M311" s="60" t="str">
        <f t="shared" si="3"/>
        <v/>
      </c>
    </row>
    <row r="312">
      <c r="A312" s="56" t="str">
        <f t="shared" si="1"/>
        <v/>
      </c>
      <c r="B312" s="57"/>
      <c r="C312" s="7"/>
      <c r="D312" s="7"/>
      <c r="E312" s="7"/>
      <c r="F312" s="7"/>
      <c r="G312" s="7"/>
      <c r="H312" s="58" t="str">
        <f t="shared" si="2"/>
        <v/>
      </c>
      <c r="I312" s="58" t="str">
        <f t="shared" si="5"/>
        <v/>
      </c>
      <c r="J312" s="58" t="str">
        <f t="shared" si="6"/>
        <v/>
      </c>
      <c r="K312" s="58" t="str">
        <f t="shared" si="7"/>
        <v/>
      </c>
      <c r="L312" s="6" t="str">
        <f t="shared" si="4"/>
        <v/>
      </c>
      <c r="M312" s="60" t="str">
        <f t="shared" si="3"/>
        <v/>
      </c>
    </row>
    <row r="313">
      <c r="A313" s="56" t="str">
        <f t="shared" si="1"/>
        <v/>
      </c>
      <c r="B313" s="57"/>
      <c r="C313" s="7"/>
      <c r="D313" s="7"/>
      <c r="E313" s="7"/>
      <c r="F313" s="7"/>
      <c r="G313" s="7"/>
      <c r="H313" s="58" t="str">
        <f t="shared" si="2"/>
        <v/>
      </c>
      <c r="I313" s="58" t="str">
        <f t="shared" si="5"/>
        <v/>
      </c>
      <c r="J313" s="58" t="str">
        <f t="shared" si="6"/>
        <v/>
      </c>
      <c r="K313" s="58" t="str">
        <f t="shared" si="7"/>
        <v/>
      </c>
      <c r="L313" s="6" t="str">
        <f t="shared" si="4"/>
        <v/>
      </c>
      <c r="M313" s="60" t="str">
        <f t="shared" si="3"/>
        <v/>
      </c>
    </row>
    <row r="314">
      <c r="A314" s="56" t="str">
        <f t="shared" si="1"/>
        <v/>
      </c>
      <c r="B314" s="57"/>
      <c r="C314" s="7"/>
      <c r="D314" s="7"/>
      <c r="E314" s="7"/>
      <c r="F314" s="7"/>
      <c r="G314" s="7"/>
      <c r="H314" s="58" t="str">
        <f t="shared" si="2"/>
        <v/>
      </c>
      <c r="I314" s="58" t="str">
        <f t="shared" si="5"/>
        <v/>
      </c>
      <c r="J314" s="58" t="str">
        <f t="shared" si="6"/>
        <v/>
      </c>
      <c r="K314" s="58" t="str">
        <f t="shared" si="7"/>
        <v/>
      </c>
      <c r="L314" s="6" t="str">
        <f t="shared" si="4"/>
        <v/>
      </c>
      <c r="M314" s="60" t="str">
        <f t="shared" si="3"/>
        <v/>
      </c>
    </row>
    <row r="315">
      <c r="A315" s="56" t="str">
        <f t="shared" si="1"/>
        <v/>
      </c>
      <c r="B315" s="57"/>
      <c r="C315" s="7"/>
      <c r="D315" s="7"/>
      <c r="E315" s="7"/>
      <c r="F315" s="7"/>
      <c r="G315" s="7"/>
      <c r="H315" s="58" t="str">
        <f t="shared" si="2"/>
        <v/>
      </c>
      <c r="I315" s="58" t="str">
        <f t="shared" si="5"/>
        <v/>
      </c>
      <c r="J315" s="58" t="str">
        <f t="shared" si="6"/>
        <v/>
      </c>
      <c r="K315" s="58" t="str">
        <f t="shared" si="7"/>
        <v/>
      </c>
      <c r="L315" s="6" t="str">
        <f t="shared" si="4"/>
        <v/>
      </c>
      <c r="M315" s="60" t="str">
        <f t="shared" si="3"/>
        <v/>
      </c>
    </row>
    <row r="316">
      <c r="A316" s="56" t="str">
        <f t="shared" si="1"/>
        <v/>
      </c>
      <c r="B316" s="57"/>
      <c r="C316" s="7"/>
      <c r="D316" s="7"/>
      <c r="E316" s="7"/>
      <c r="F316" s="7"/>
      <c r="G316" s="7"/>
      <c r="H316" s="58" t="str">
        <f t="shared" si="2"/>
        <v/>
      </c>
      <c r="I316" s="58" t="str">
        <f t="shared" si="5"/>
        <v/>
      </c>
      <c r="J316" s="58" t="str">
        <f t="shared" si="6"/>
        <v/>
      </c>
      <c r="K316" s="58" t="str">
        <f t="shared" si="7"/>
        <v/>
      </c>
      <c r="L316" s="6" t="str">
        <f t="shared" si="4"/>
        <v/>
      </c>
      <c r="M316" s="60" t="str">
        <f t="shared" si="3"/>
        <v/>
      </c>
    </row>
    <row r="317">
      <c r="A317" s="56" t="str">
        <f t="shared" si="1"/>
        <v/>
      </c>
      <c r="B317" s="57"/>
      <c r="C317" s="7"/>
      <c r="D317" s="7"/>
      <c r="E317" s="7"/>
      <c r="F317" s="7"/>
      <c r="G317" s="7"/>
      <c r="H317" s="58" t="str">
        <f t="shared" si="2"/>
        <v/>
      </c>
      <c r="I317" s="58" t="str">
        <f t="shared" si="5"/>
        <v/>
      </c>
      <c r="J317" s="58" t="str">
        <f t="shared" si="6"/>
        <v/>
      </c>
      <c r="K317" s="58" t="str">
        <f t="shared" si="7"/>
        <v/>
      </c>
      <c r="L317" s="6" t="str">
        <f t="shared" si="4"/>
        <v/>
      </c>
      <c r="M317" s="60" t="str">
        <f t="shared" si="3"/>
        <v/>
      </c>
    </row>
    <row r="318">
      <c r="A318" s="56" t="str">
        <f t="shared" si="1"/>
        <v/>
      </c>
      <c r="B318" s="57"/>
      <c r="C318" s="7"/>
      <c r="D318" s="7"/>
      <c r="E318" s="7"/>
      <c r="F318" s="7"/>
      <c r="G318" s="7"/>
      <c r="H318" s="58" t="str">
        <f t="shared" si="2"/>
        <v/>
      </c>
      <c r="I318" s="58" t="str">
        <f t="shared" si="5"/>
        <v/>
      </c>
      <c r="J318" s="58" t="str">
        <f t="shared" si="6"/>
        <v/>
      </c>
      <c r="K318" s="58" t="str">
        <f t="shared" si="7"/>
        <v/>
      </c>
      <c r="L318" s="6" t="str">
        <f t="shared" si="4"/>
        <v/>
      </c>
      <c r="M318" s="60" t="str">
        <f t="shared" si="3"/>
        <v/>
      </c>
    </row>
    <row r="319">
      <c r="A319" s="56" t="str">
        <f t="shared" si="1"/>
        <v/>
      </c>
      <c r="B319" s="57"/>
      <c r="C319" s="7"/>
      <c r="D319" s="7"/>
      <c r="E319" s="7"/>
      <c r="F319" s="7"/>
      <c r="G319" s="7"/>
      <c r="H319" s="58" t="str">
        <f t="shared" si="2"/>
        <v/>
      </c>
      <c r="I319" s="58" t="str">
        <f t="shared" si="5"/>
        <v/>
      </c>
      <c r="J319" s="58" t="str">
        <f t="shared" si="6"/>
        <v/>
      </c>
      <c r="K319" s="58" t="str">
        <f t="shared" si="7"/>
        <v/>
      </c>
      <c r="L319" s="6" t="str">
        <f t="shared" si="4"/>
        <v/>
      </c>
      <c r="M319" s="60" t="str">
        <f t="shared" si="3"/>
        <v/>
      </c>
    </row>
    <row r="320">
      <c r="A320" s="56" t="str">
        <f t="shared" si="1"/>
        <v/>
      </c>
      <c r="B320" s="57"/>
      <c r="C320" s="7"/>
      <c r="D320" s="7"/>
      <c r="E320" s="7"/>
      <c r="F320" s="7"/>
      <c r="G320" s="7"/>
      <c r="H320" s="58" t="str">
        <f t="shared" si="2"/>
        <v/>
      </c>
      <c r="I320" s="58" t="str">
        <f t="shared" si="5"/>
        <v/>
      </c>
      <c r="J320" s="58" t="str">
        <f t="shared" si="6"/>
        <v/>
      </c>
      <c r="K320" s="58" t="str">
        <f t="shared" si="7"/>
        <v/>
      </c>
      <c r="L320" s="6" t="str">
        <f t="shared" si="4"/>
        <v/>
      </c>
      <c r="M320" s="60" t="str">
        <f t="shared" si="3"/>
        <v/>
      </c>
    </row>
    <row r="321">
      <c r="A321" s="56" t="str">
        <f t="shared" si="1"/>
        <v/>
      </c>
      <c r="B321" s="57"/>
      <c r="C321" s="7"/>
      <c r="D321" s="7"/>
      <c r="E321" s="7"/>
      <c r="F321" s="7"/>
      <c r="G321" s="7"/>
      <c r="H321" s="58" t="str">
        <f t="shared" si="2"/>
        <v/>
      </c>
      <c r="I321" s="58" t="str">
        <f t="shared" si="5"/>
        <v/>
      </c>
      <c r="J321" s="58" t="str">
        <f t="shared" si="6"/>
        <v/>
      </c>
      <c r="K321" s="58" t="str">
        <f t="shared" si="7"/>
        <v/>
      </c>
      <c r="L321" s="6" t="str">
        <f t="shared" si="4"/>
        <v/>
      </c>
      <c r="M321" s="60" t="str">
        <f t="shared" si="3"/>
        <v/>
      </c>
    </row>
    <row r="322">
      <c r="A322" s="56" t="str">
        <f t="shared" si="1"/>
        <v/>
      </c>
      <c r="B322" s="57"/>
      <c r="C322" s="7"/>
      <c r="D322" s="7"/>
      <c r="E322" s="7"/>
      <c r="F322" s="7"/>
      <c r="G322" s="7"/>
      <c r="H322" s="58" t="str">
        <f t="shared" si="2"/>
        <v/>
      </c>
      <c r="I322" s="58" t="str">
        <f t="shared" si="5"/>
        <v/>
      </c>
      <c r="J322" s="58" t="str">
        <f t="shared" si="6"/>
        <v/>
      </c>
      <c r="K322" s="58" t="str">
        <f t="shared" si="7"/>
        <v/>
      </c>
      <c r="L322" s="6" t="str">
        <f t="shared" si="4"/>
        <v/>
      </c>
      <c r="M322" s="60" t="str">
        <f t="shared" si="3"/>
        <v/>
      </c>
    </row>
    <row r="323">
      <c r="A323" s="56" t="str">
        <f t="shared" si="1"/>
        <v/>
      </c>
      <c r="B323" s="57"/>
      <c r="C323" s="7"/>
      <c r="D323" s="7"/>
      <c r="E323" s="7"/>
      <c r="F323" s="7"/>
      <c r="G323" s="7"/>
      <c r="H323" s="58" t="str">
        <f t="shared" si="2"/>
        <v/>
      </c>
      <c r="I323" s="58" t="str">
        <f t="shared" si="5"/>
        <v/>
      </c>
      <c r="J323" s="58" t="str">
        <f t="shared" si="6"/>
        <v/>
      </c>
      <c r="K323" s="58" t="str">
        <f t="shared" si="7"/>
        <v/>
      </c>
      <c r="L323" s="6" t="str">
        <f t="shared" si="4"/>
        <v/>
      </c>
      <c r="M323" s="60" t="str">
        <f t="shared" si="3"/>
        <v/>
      </c>
    </row>
    <row r="324">
      <c r="A324" s="56" t="str">
        <f t="shared" si="1"/>
        <v/>
      </c>
      <c r="B324" s="57"/>
      <c r="C324" s="7"/>
      <c r="D324" s="7"/>
      <c r="E324" s="7"/>
      <c r="F324" s="7"/>
      <c r="G324" s="7"/>
      <c r="H324" s="58" t="str">
        <f t="shared" si="2"/>
        <v/>
      </c>
      <c r="I324" s="58" t="str">
        <f t="shared" si="5"/>
        <v/>
      </c>
      <c r="J324" s="58" t="str">
        <f t="shared" si="6"/>
        <v/>
      </c>
      <c r="K324" s="58" t="str">
        <f t="shared" si="7"/>
        <v/>
      </c>
      <c r="L324" s="6" t="str">
        <f t="shared" si="4"/>
        <v/>
      </c>
      <c r="M324" s="60" t="str">
        <f t="shared" si="3"/>
        <v/>
      </c>
    </row>
    <row r="325">
      <c r="A325" s="56" t="str">
        <f t="shared" si="1"/>
        <v/>
      </c>
      <c r="B325" s="57"/>
      <c r="C325" s="7"/>
      <c r="D325" s="7"/>
      <c r="E325" s="7"/>
      <c r="F325" s="7"/>
      <c r="G325" s="7"/>
      <c r="H325" s="58" t="str">
        <f t="shared" si="2"/>
        <v/>
      </c>
      <c r="I325" s="58" t="str">
        <f t="shared" si="5"/>
        <v/>
      </c>
      <c r="J325" s="58" t="str">
        <f t="shared" si="6"/>
        <v/>
      </c>
      <c r="K325" s="58" t="str">
        <f t="shared" si="7"/>
        <v/>
      </c>
      <c r="L325" s="6" t="str">
        <f t="shared" si="4"/>
        <v/>
      </c>
      <c r="M325" s="60" t="str">
        <f t="shared" si="3"/>
        <v/>
      </c>
    </row>
    <row r="326">
      <c r="A326" s="56" t="str">
        <f t="shared" si="1"/>
        <v/>
      </c>
      <c r="B326" s="57"/>
      <c r="C326" s="7"/>
      <c r="D326" s="7"/>
      <c r="E326" s="7"/>
      <c r="F326" s="7"/>
      <c r="G326" s="7"/>
      <c r="H326" s="58" t="str">
        <f t="shared" si="2"/>
        <v/>
      </c>
      <c r="I326" s="58" t="str">
        <f t="shared" si="5"/>
        <v/>
      </c>
      <c r="J326" s="58" t="str">
        <f t="shared" si="6"/>
        <v/>
      </c>
      <c r="K326" s="58" t="str">
        <f t="shared" si="7"/>
        <v/>
      </c>
      <c r="L326" s="6" t="str">
        <f t="shared" si="4"/>
        <v/>
      </c>
      <c r="M326" s="60" t="str">
        <f t="shared" si="3"/>
        <v/>
      </c>
    </row>
    <row r="327">
      <c r="A327" s="56" t="str">
        <f t="shared" si="1"/>
        <v/>
      </c>
      <c r="B327" s="57"/>
      <c r="C327" s="7"/>
      <c r="D327" s="7"/>
      <c r="E327" s="7"/>
      <c r="F327" s="7"/>
      <c r="G327" s="7"/>
      <c r="H327" s="58" t="str">
        <f t="shared" si="2"/>
        <v/>
      </c>
      <c r="I327" s="58" t="str">
        <f t="shared" si="5"/>
        <v/>
      </c>
      <c r="J327" s="58" t="str">
        <f t="shared" si="6"/>
        <v/>
      </c>
      <c r="K327" s="58" t="str">
        <f t="shared" si="7"/>
        <v/>
      </c>
      <c r="L327" s="6" t="str">
        <f t="shared" si="4"/>
        <v/>
      </c>
      <c r="M327" s="60" t="str">
        <f t="shared" si="3"/>
        <v/>
      </c>
    </row>
    <row r="328">
      <c r="A328" s="56" t="str">
        <f t="shared" si="1"/>
        <v/>
      </c>
      <c r="B328" s="57"/>
      <c r="C328" s="7"/>
      <c r="D328" s="7"/>
      <c r="E328" s="7"/>
      <c r="F328" s="7"/>
      <c r="G328" s="7"/>
      <c r="H328" s="58" t="str">
        <f t="shared" si="2"/>
        <v/>
      </c>
      <c r="I328" s="58" t="str">
        <f t="shared" si="5"/>
        <v/>
      </c>
      <c r="J328" s="58" t="str">
        <f t="shared" si="6"/>
        <v/>
      </c>
      <c r="K328" s="58" t="str">
        <f t="shared" si="7"/>
        <v/>
      </c>
      <c r="L328" s="6" t="str">
        <f t="shared" si="4"/>
        <v/>
      </c>
      <c r="M328" s="60" t="str">
        <f t="shared" si="3"/>
        <v/>
      </c>
    </row>
    <row r="329">
      <c r="A329" s="56" t="str">
        <f t="shared" si="1"/>
        <v/>
      </c>
      <c r="B329" s="57"/>
      <c r="C329" s="7"/>
      <c r="D329" s="7"/>
      <c r="E329" s="7"/>
      <c r="F329" s="7"/>
      <c r="G329" s="7"/>
      <c r="H329" s="58" t="str">
        <f t="shared" si="2"/>
        <v/>
      </c>
      <c r="I329" s="58" t="str">
        <f t="shared" si="5"/>
        <v/>
      </c>
      <c r="J329" s="58" t="str">
        <f t="shared" si="6"/>
        <v/>
      </c>
      <c r="K329" s="58" t="str">
        <f t="shared" si="7"/>
        <v/>
      </c>
      <c r="L329" s="6" t="str">
        <f t="shared" si="4"/>
        <v/>
      </c>
      <c r="M329" s="60" t="str">
        <f t="shared" si="3"/>
        <v/>
      </c>
    </row>
    <row r="330">
      <c r="A330" s="56" t="str">
        <f t="shared" si="1"/>
        <v/>
      </c>
      <c r="B330" s="57"/>
      <c r="C330" s="7"/>
      <c r="D330" s="7"/>
      <c r="E330" s="7"/>
      <c r="F330" s="7"/>
      <c r="G330" s="7"/>
      <c r="H330" s="58" t="str">
        <f t="shared" si="2"/>
        <v/>
      </c>
      <c r="I330" s="58" t="str">
        <f t="shared" si="5"/>
        <v/>
      </c>
      <c r="J330" s="58" t="str">
        <f t="shared" si="6"/>
        <v/>
      </c>
      <c r="K330" s="58" t="str">
        <f t="shared" si="7"/>
        <v/>
      </c>
      <c r="L330" s="6" t="str">
        <f t="shared" si="4"/>
        <v/>
      </c>
      <c r="M330" s="60" t="str">
        <f t="shared" si="3"/>
        <v/>
      </c>
    </row>
    <row r="331">
      <c r="A331" s="56" t="str">
        <f t="shared" si="1"/>
        <v/>
      </c>
      <c r="B331" s="57"/>
      <c r="C331" s="7"/>
      <c r="D331" s="7"/>
      <c r="E331" s="7"/>
      <c r="F331" s="7"/>
      <c r="G331" s="7"/>
      <c r="H331" s="58" t="str">
        <f t="shared" si="2"/>
        <v/>
      </c>
      <c r="I331" s="58" t="str">
        <f t="shared" si="5"/>
        <v/>
      </c>
      <c r="J331" s="58" t="str">
        <f t="shared" si="6"/>
        <v/>
      </c>
      <c r="K331" s="58" t="str">
        <f t="shared" si="7"/>
        <v/>
      </c>
      <c r="L331" s="6" t="str">
        <f t="shared" si="4"/>
        <v/>
      </c>
      <c r="M331" s="60" t="str">
        <f t="shared" si="3"/>
        <v/>
      </c>
    </row>
    <row r="332">
      <c r="A332" s="56" t="str">
        <f t="shared" si="1"/>
        <v/>
      </c>
      <c r="B332" s="57"/>
      <c r="C332" s="7"/>
      <c r="D332" s="7"/>
      <c r="E332" s="7"/>
      <c r="F332" s="7"/>
      <c r="G332" s="7"/>
      <c r="H332" s="58" t="str">
        <f t="shared" si="2"/>
        <v/>
      </c>
      <c r="I332" s="58" t="str">
        <f t="shared" si="5"/>
        <v/>
      </c>
      <c r="J332" s="58" t="str">
        <f t="shared" si="6"/>
        <v/>
      </c>
      <c r="K332" s="58" t="str">
        <f t="shared" si="7"/>
        <v/>
      </c>
      <c r="L332" s="6" t="str">
        <f t="shared" si="4"/>
        <v/>
      </c>
      <c r="M332" s="60" t="str">
        <f t="shared" si="3"/>
        <v/>
      </c>
    </row>
    <row r="333">
      <c r="A333" s="56" t="str">
        <f t="shared" si="1"/>
        <v/>
      </c>
      <c r="B333" s="57"/>
      <c r="C333" s="7"/>
      <c r="D333" s="7"/>
      <c r="E333" s="7"/>
      <c r="F333" s="7"/>
      <c r="G333" s="7"/>
      <c r="H333" s="58" t="str">
        <f t="shared" si="2"/>
        <v/>
      </c>
      <c r="I333" s="58" t="str">
        <f t="shared" si="5"/>
        <v/>
      </c>
      <c r="J333" s="58" t="str">
        <f t="shared" si="6"/>
        <v/>
      </c>
      <c r="K333" s="58" t="str">
        <f t="shared" si="7"/>
        <v/>
      </c>
      <c r="L333" s="6" t="str">
        <f t="shared" si="4"/>
        <v/>
      </c>
      <c r="M333" s="60" t="str">
        <f t="shared" si="3"/>
        <v/>
      </c>
    </row>
    <row r="334">
      <c r="A334" s="56" t="str">
        <f t="shared" si="1"/>
        <v/>
      </c>
      <c r="B334" s="57"/>
      <c r="C334" s="7"/>
      <c r="D334" s="7"/>
      <c r="E334" s="7"/>
      <c r="F334" s="7"/>
      <c r="G334" s="7"/>
      <c r="H334" s="58" t="str">
        <f t="shared" si="2"/>
        <v/>
      </c>
      <c r="I334" s="58" t="str">
        <f t="shared" si="5"/>
        <v/>
      </c>
      <c r="J334" s="58" t="str">
        <f t="shared" si="6"/>
        <v/>
      </c>
      <c r="K334" s="58" t="str">
        <f t="shared" si="7"/>
        <v/>
      </c>
      <c r="L334" s="6" t="str">
        <f t="shared" si="4"/>
        <v/>
      </c>
      <c r="M334" s="60" t="str">
        <f t="shared" si="3"/>
        <v/>
      </c>
    </row>
    <row r="335">
      <c r="A335" s="56" t="str">
        <f t="shared" si="1"/>
        <v/>
      </c>
      <c r="B335" s="57"/>
      <c r="C335" s="7"/>
      <c r="D335" s="7"/>
      <c r="E335" s="7"/>
      <c r="F335" s="7"/>
      <c r="G335" s="7"/>
      <c r="H335" s="58" t="str">
        <f t="shared" si="2"/>
        <v/>
      </c>
      <c r="I335" s="58" t="str">
        <f t="shared" si="5"/>
        <v/>
      </c>
      <c r="J335" s="58" t="str">
        <f t="shared" si="6"/>
        <v/>
      </c>
      <c r="K335" s="58" t="str">
        <f t="shared" si="7"/>
        <v/>
      </c>
      <c r="L335" s="6" t="str">
        <f t="shared" si="4"/>
        <v/>
      </c>
      <c r="M335" s="60" t="str">
        <f t="shared" si="3"/>
        <v/>
      </c>
    </row>
    <row r="336">
      <c r="A336" s="56" t="str">
        <f t="shared" si="1"/>
        <v/>
      </c>
      <c r="B336" s="57"/>
      <c r="C336" s="7"/>
      <c r="D336" s="7"/>
      <c r="E336" s="7"/>
      <c r="F336" s="7"/>
      <c r="G336" s="7"/>
      <c r="H336" s="58" t="str">
        <f t="shared" si="2"/>
        <v/>
      </c>
      <c r="I336" s="58" t="str">
        <f t="shared" si="5"/>
        <v/>
      </c>
      <c r="J336" s="58" t="str">
        <f t="shared" si="6"/>
        <v/>
      </c>
      <c r="K336" s="58" t="str">
        <f t="shared" si="7"/>
        <v/>
      </c>
      <c r="L336" s="6" t="str">
        <f t="shared" si="4"/>
        <v/>
      </c>
      <c r="M336" s="60" t="str">
        <f t="shared" si="3"/>
        <v/>
      </c>
    </row>
    <row r="337">
      <c r="A337" s="56" t="str">
        <f t="shared" si="1"/>
        <v/>
      </c>
      <c r="B337" s="57"/>
      <c r="C337" s="7"/>
      <c r="D337" s="7"/>
      <c r="E337" s="7"/>
      <c r="F337" s="7"/>
      <c r="G337" s="7"/>
      <c r="H337" s="58" t="str">
        <f t="shared" si="2"/>
        <v/>
      </c>
      <c r="I337" s="58" t="str">
        <f t="shared" si="5"/>
        <v/>
      </c>
      <c r="J337" s="58" t="str">
        <f t="shared" si="6"/>
        <v/>
      </c>
      <c r="K337" s="58" t="str">
        <f t="shared" si="7"/>
        <v/>
      </c>
      <c r="L337" s="6" t="str">
        <f t="shared" si="4"/>
        <v/>
      </c>
      <c r="M337" s="60" t="str">
        <f t="shared" si="3"/>
        <v/>
      </c>
    </row>
    <row r="338">
      <c r="A338" s="56" t="str">
        <f t="shared" si="1"/>
        <v/>
      </c>
      <c r="B338" s="57"/>
      <c r="C338" s="7"/>
      <c r="D338" s="7"/>
      <c r="E338" s="7"/>
      <c r="F338" s="7"/>
      <c r="G338" s="7"/>
      <c r="H338" s="58" t="str">
        <f t="shared" si="2"/>
        <v/>
      </c>
      <c r="I338" s="58" t="str">
        <f t="shared" si="5"/>
        <v/>
      </c>
      <c r="J338" s="58" t="str">
        <f t="shared" si="6"/>
        <v/>
      </c>
      <c r="K338" s="58" t="str">
        <f t="shared" si="7"/>
        <v/>
      </c>
      <c r="L338" s="6" t="str">
        <f t="shared" si="4"/>
        <v/>
      </c>
      <c r="M338" s="60" t="str">
        <f t="shared" si="3"/>
        <v/>
      </c>
    </row>
    <row r="339">
      <c r="A339" s="56" t="str">
        <f t="shared" si="1"/>
        <v/>
      </c>
      <c r="B339" s="57"/>
      <c r="C339" s="7"/>
      <c r="D339" s="7"/>
      <c r="E339" s="7"/>
      <c r="F339" s="7"/>
      <c r="G339" s="7"/>
      <c r="H339" s="58" t="str">
        <f t="shared" si="2"/>
        <v/>
      </c>
      <c r="I339" s="58" t="str">
        <f t="shared" si="5"/>
        <v/>
      </c>
      <c r="J339" s="58" t="str">
        <f t="shared" si="6"/>
        <v/>
      </c>
      <c r="K339" s="58" t="str">
        <f t="shared" si="7"/>
        <v/>
      </c>
      <c r="L339" s="6" t="str">
        <f t="shared" si="4"/>
        <v/>
      </c>
      <c r="M339" s="60" t="str">
        <f t="shared" si="3"/>
        <v/>
      </c>
    </row>
    <row r="340">
      <c r="A340" s="56" t="str">
        <f t="shared" si="1"/>
        <v/>
      </c>
      <c r="B340" s="57"/>
      <c r="C340" s="7"/>
      <c r="D340" s="7"/>
      <c r="E340" s="7"/>
      <c r="F340" s="7"/>
      <c r="G340" s="7"/>
      <c r="H340" s="58" t="str">
        <f t="shared" si="2"/>
        <v/>
      </c>
      <c r="I340" s="58" t="str">
        <f t="shared" si="5"/>
        <v/>
      </c>
      <c r="J340" s="58" t="str">
        <f t="shared" si="6"/>
        <v/>
      </c>
      <c r="K340" s="58" t="str">
        <f t="shared" si="7"/>
        <v/>
      </c>
      <c r="L340" s="6" t="str">
        <f t="shared" si="4"/>
        <v/>
      </c>
      <c r="M340" s="60" t="str">
        <f t="shared" si="3"/>
        <v/>
      </c>
    </row>
    <row r="341">
      <c r="A341" s="56" t="str">
        <f t="shared" si="1"/>
        <v/>
      </c>
      <c r="B341" s="57"/>
      <c r="C341" s="7"/>
      <c r="D341" s="7"/>
      <c r="E341" s="7"/>
      <c r="F341" s="7"/>
      <c r="G341" s="7"/>
      <c r="H341" s="58" t="str">
        <f t="shared" si="2"/>
        <v/>
      </c>
      <c r="I341" s="58" t="str">
        <f t="shared" si="5"/>
        <v/>
      </c>
      <c r="J341" s="58" t="str">
        <f t="shared" si="6"/>
        <v/>
      </c>
      <c r="K341" s="58" t="str">
        <f t="shared" si="7"/>
        <v/>
      </c>
      <c r="L341" s="6" t="str">
        <f t="shared" si="4"/>
        <v/>
      </c>
      <c r="M341" s="60" t="str">
        <f t="shared" si="3"/>
        <v/>
      </c>
    </row>
    <row r="342">
      <c r="A342" s="56" t="str">
        <f t="shared" si="1"/>
        <v/>
      </c>
      <c r="B342" s="57"/>
      <c r="C342" s="7"/>
      <c r="D342" s="7"/>
      <c r="E342" s="7"/>
      <c r="F342" s="7"/>
      <c r="G342" s="7"/>
      <c r="H342" s="58" t="str">
        <f t="shared" si="2"/>
        <v/>
      </c>
      <c r="I342" s="58" t="str">
        <f t="shared" si="5"/>
        <v/>
      </c>
      <c r="J342" s="58" t="str">
        <f t="shared" si="6"/>
        <v/>
      </c>
      <c r="K342" s="58" t="str">
        <f t="shared" si="7"/>
        <v/>
      </c>
      <c r="L342" s="6" t="str">
        <f t="shared" si="4"/>
        <v/>
      </c>
      <c r="M342" s="60" t="str">
        <f t="shared" si="3"/>
        <v/>
      </c>
    </row>
    <row r="343">
      <c r="A343" s="56" t="str">
        <f t="shared" si="1"/>
        <v/>
      </c>
      <c r="B343" s="57"/>
      <c r="C343" s="7"/>
      <c r="D343" s="7"/>
      <c r="E343" s="7"/>
      <c r="F343" s="7"/>
      <c r="G343" s="7"/>
      <c r="H343" s="58" t="str">
        <f t="shared" si="2"/>
        <v/>
      </c>
      <c r="I343" s="58" t="str">
        <f t="shared" si="5"/>
        <v/>
      </c>
      <c r="J343" s="58" t="str">
        <f t="shared" si="6"/>
        <v/>
      </c>
      <c r="K343" s="58" t="str">
        <f t="shared" si="7"/>
        <v/>
      </c>
      <c r="L343" s="6" t="str">
        <f t="shared" si="4"/>
        <v/>
      </c>
      <c r="M343" s="60" t="str">
        <f t="shared" si="3"/>
        <v/>
      </c>
    </row>
    <row r="344">
      <c r="A344" s="56" t="str">
        <f t="shared" si="1"/>
        <v/>
      </c>
      <c r="B344" s="57"/>
      <c r="C344" s="7"/>
      <c r="D344" s="7"/>
      <c r="E344" s="7"/>
      <c r="F344" s="7"/>
      <c r="G344" s="7"/>
      <c r="H344" s="58" t="str">
        <f t="shared" si="2"/>
        <v/>
      </c>
      <c r="I344" s="58" t="str">
        <f t="shared" si="5"/>
        <v/>
      </c>
      <c r="J344" s="58" t="str">
        <f t="shared" si="6"/>
        <v/>
      </c>
      <c r="K344" s="58" t="str">
        <f t="shared" si="7"/>
        <v/>
      </c>
      <c r="L344" s="6" t="str">
        <f t="shared" si="4"/>
        <v/>
      </c>
      <c r="M344" s="60" t="str">
        <f t="shared" si="3"/>
        <v/>
      </c>
    </row>
    <row r="345">
      <c r="A345" s="56" t="str">
        <f t="shared" si="1"/>
        <v/>
      </c>
      <c r="B345" s="57"/>
      <c r="C345" s="7"/>
      <c r="D345" s="7"/>
      <c r="E345" s="7"/>
      <c r="F345" s="7"/>
      <c r="G345" s="7"/>
      <c r="H345" s="58" t="str">
        <f t="shared" si="2"/>
        <v/>
      </c>
      <c r="I345" s="58" t="str">
        <f t="shared" si="5"/>
        <v/>
      </c>
      <c r="J345" s="58" t="str">
        <f t="shared" si="6"/>
        <v/>
      </c>
      <c r="K345" s="58" t="str">
        <f t="shared" si="7"/>
        <v/>
      </c>
      <c r="L345" s="6" t="str">
        <f t="shared" si="4"/>
        <v/>
      </c>
      <c r="M345" s="60" t="str">
        <f t="shared" si="3"/>
        <v/>
      </c>
    </row>
    <row r="346">
      <c r="A346" s="56" t="str">
        <f t="shared" si="1"/>
        <v/>
      </c>
      <c r="B346" s="57"/>
      <c r="C346" s="7"/>
      <c r="D346" s="7"/>
      <c r="E346" s="7"/>
      <c r="F346" s="7"/>
      <c r="G346" s="7"/>
      <c r="H346" s="58" t="str">
        <f t="shared" si="2"/>
        <v/>
      </c>
      <c r="I346" s="58" t="str">
        <f t="shared" si="5"/>
        <v/>
      </c>
      <c r="J346" s="58" t="str">
        <f t="shared" si="6"/>
        <v/>
      </c>
      <c r="K346" s="58" t="str">
        <f t="shared" si="7"/>
        <v/>
      </c>
      <c r="L346" s="6" t="str">
        <f t="shared" si="4"/>
        <v/>
      </c>
      <c r="M346" s="60" t="str">
        <f t="shared" si="3"/>
        <v/>
      </c>
    </row>
    <row r="347">
      <c r="A347" s="56" t="str">
        <f t="shared" si="1"/>
        <v/>
      </c>
      <c r="B347" s="57"/>
      <c r="C347" s="7"/>
      <c r="D347" s="7"/>
      <c r="E347" s="7"/>
      <c r="F347" s="7"/>
      <c r="G347" s="7"/>
      <c r="H347" s="58" t="str">
        <f t="shared" si="2"/>
        <v/>
      </c>
      <c r="I347" s="58" t="str">
        <f t="shared" si="5"/>
        <v/>
      </c>
      <c r="J347" s="58" t="str">
        <f t="shared" si="6"/>
        <v/>
      </c>
      <c r="K347" s="58" t="str">
        <f t="shared" si="7"/>
        <v/>
      </c>
      <c r="L347" s="6" t="str">
        <f t="shared" si="4"/>
        <v/>
      </c>
      <c r="M347" s="60" t="str">
        <f t="shared" si="3"/>
        <v/>
      </c>
    </row>
    <row r="348">
      <c r="A348" s="56" t="str">
        <f t="shared" si="1"/>
        <v/>
      </c>
      <c r="B348" s="57"/>
      <c r="C348" s="7"/>
      <c r="D348" s="7"/>
      <c r="E348" s="7"/>
      <c r="F348" s="7"/>
      <c r="G348" s="7"/>
      <c r="H348" s="58" t="str">
        <f t="shared" si="2"/>
        <v/>
      </c>
      <c r="I348" s="58" t="str">
        <f t="shared" si="5"/>
        <v/>
      </c>
      <c r="J348" s="58" t="str">
        <f t="shared" si="6"/>
        <v/>
      </c>
      <c r="K348" s="58" t="str">
        <f t="shared" si="7"/>
        <v/>
      </c>
      <c r="L348" s="6" t="str">
        <f t="shared" si="4"/>
        <v/>
      </c>
      <c r="M348" s="60" t="str">
        <f t="shared" si="3"/>
        <v/>
      </c>
    </row>
    <row r="349">
      <c r="A349" s="56" t="str">
        <f t="shared" si="1"/>
        <v/>
      </c>
      <c r="B349" s="57"/>
      <c r="C349" s="7"/>
      <c r="D349" s="7"/>
      <c r="E349" s="7"/>
      <c r="F349" s="7"/>
      <c r="G349" s="7"/>
      <c r="H349" s="58" t="str">
        <f t="shared" si="2"/>
        <v/>
      </c>
      <c r="I349" s="58" t="str">
        <f t="shared" si="5"/>
        <v/>
      </c>
      <c r="J349" s="58" t="str">
        <f t="shared" si="6"/>
        <v/>
      </c>
      <c r="K349" s="58" t="str">
        <f t="shared" si="7"/>
        <v/>
      </c>
      <c r="L349" s="6" t="str">
        <f t="shared" si="4"/>
        <v/>
      </c>
      <c r="M349" s="60" t="str">
        <f t="shared" si="3"/>
        <v/>
      </c>
    </row>
    <row r="350">
      <c r="A350" s="56" t="str">
        <f t="shared" si="1"/>
        <v/>
      </c>
      <c r="B350" s="57"/>
      <c r="C350" s="7"/>
      <c r="D350" s="7"/>
      <c r="E350" s="7"/>
      <c r="F350" s="7"/>
      <c r="G350" s="7"/>
      <c r="H350" s="58" t="str">
        <f t="shared" si="2"/>
        <v/>
      </c>
      <c r="I350" s="58" t="str">
        <f t="shared" si="5"/>
        <v/>
      </c>
      <c r="J350" s="58" t="str">
        <f t="shared" si="6"/>
        <v/>
      </c>
      <c r="K350" s="58" t="str">
        <f t="shared" si="7"/>
        <v/>
      </c>
      <c r="L350" s="6" t="str">
        <f t="shared" si="4"/>
        <v/>
      </c>
      <c r="M350" s="60" t="str">
        <f t="shared" si="3"/>
        <v/>
      </c>
    </row>
    <row r="351">
      <c r="A351" s="56" t="str">
        <f t="shared" si="1"/>
        <v/>
      </c>
      <c r="B351" s="57"/>
      <c r="C351" s="7"/>
      <c r="D351" s="7"/>
      <c r="E351" s="7"/>
      <c r="F351" s="7"/>
      <c r="G351" s="7"/>
      <c r="H351" s="58" t="str">
        <f t="shared" si="2"/>
        <v/>
      </c>
      <c r="I351" s="58" t="str">
        <f t="shared" si="5"/>
        <v/>
      </c>
      <c r="J351" s="58" t="str">
        <f t="shared" si="6"/>
        <v/>
      </c>
      <c r="K351" s="58" t="str">
        <f t="shared" si="7"/>
        <v/>
      </c>
      <c r="L351" s="6" t="str">
        <f t="shared" si="4"/>
        <v/>
      </c>
      <c r="M351" s="60" t="str">
        <f t="shared" si="3"/>
        <v/>
      </c>
    </row>
    <row r="352">
      <c r="A352" s="56" t="str">
        <f t="shared" si="1"/>
        <v/>
      </c>
      <c r="B352" s="57"/>
      <c r="C352" s="7"/>
      <c r="D352" s="7"/>
      <c r="E352" s="7"/>
      <c r="F352" s="7"/>
      <c r="G352" s="7"/>
      <c r="H352" s="58" t="str">
        <f t="shared" si="2"/>
        <v/>
      </c>
      <c r="I352" s="58" t="str">
        <f t="shared" si="5"/>
        <v/>
      </c>
      <c r="J352" s="58" t="str">
        <f t="shared" si="6"/>
        <v/>
      </c>
      <c r="K352" s="58" t="str">
        <f t="shared" si="7"/>
        <v/>
      </c>
      <c r="L352" s="6" t="str">
        <f t="shared" si="4"/>
        <v/>
      </c>
      <c r="M352" s="60" t="str">
        <f t="shared" si="3"/>
        <v/>
      </c>
    </row>
    <row r="353">
      <c r="A353" s="56" t="str">
        <f t="shared" si="1"/>
        <v/>
      </c>
      <c r="B353" s="57"/>
      <c r="C353" s="7"/>
      <c r="D353" s="7"/>
      <c r="E353" s="7"/>
      <c r="F353" s="7"/>
      <c r="G353" s="7"/>
      <c r="H353" s="58" t="str">
        <f t="shared" si="2"/>
        <v/>
      </c>
      <c r="I353" s="58" t="str">
        <f t="shared" si="5"/>
        <v/>
      </c>
      <c r="J353" s="58" t="str">
        <f t="shared" si="6"/>
        <v/>
      </c>
      <c r="K353" s="58" t="str">
        <f t="shared" si="7"/>
        <v/>
      </c>
      <c r="L353" s="6" t="str">
        <f t="shared" si="4"/>
        <v/>
      </c>
      <c r="M353" s="60" t="str">
        <f t="shared" si="3"/>
        <v/>
      </c>
    </row>
    <row r="354">
      <c r="A354" s="56" t="str">
        <f t="shared" si="1"/>
        <v/>
      </c>
      <c r="B354" s="57"/>
      <c r="C354" s="7"/>
      <c r="D354" s="7"/>
      <c r="E354" s="7"/>
      <c r="F354" s="7"/>
      <c r="G354" s="7"/>
      <c r="H354" s="58" t="str">
        <f t="shared" si="2"/>
        <v/>
      </c>
      <c r="I354" s="58" t="str">
        <f t="shared" si="5"/>
        <v/>
      </c>
      <c r="J354" s="58" t="str">
        <f t="shared" si="6"/>
        <v/>
      </c>
      <c r="K354" s="58" t="str">
        <f t="shared" si="7"/>
        <v/>
      </c>
      <c r="L354" s="6" t="str">
        <f t="shared" si="4"/>
        <v/>
      </c>
      <c r="M354" s="60" t="str">
        <f t="shared" si="3"/>
        <v/>
      </c>
    </row>
    <row r="355">
      <c r="A355" s="56" t="str">
        <f t="shared" si="1"/>
        <v/>
      </c>
      <c r="B355" s="57"/>
      <c r="C355" s="7"/>
      <c r="D355" s="7"/>
      <c r="E355" s="7"/>
      <c r="F355" s="7"/>
      <c r="G355" s="7"/>
      <c r="H355" s="58" t="str">
        <f t="shared" si="2"/>
        <v/>
      </c>
      <c r="I355" s="58" t="str">
        <f t="shared" si="5"/>
        <v/>
      </c>
      <c r="J355" s="58" t="str">
        <f t="shared" si="6"/>
        <v/>
      </c>
      <c r="K355" s="58" t="str">
        <f t="shared" si="7"/>
        <v/>
      </c>
      <c r="L355" s="6" t="str">
        <f t="shared" si="4"/>
        <v/>
      </c>
      <c r="M355" s="60" t="str">
        <f t="shared" si="3"/>
        <v/>
      </c>
    </row>
    <row r="356">
      <c r="A356" s="56" t="str">
        <f t="shared" si="1"/>
        <v/>
      </c>
      <c r="B356" s="57"/>
      <c r="C356" s="7"/>
      <c r="D356" s="7"/>
      <c r="E356" s="7"/>
      <c r="F356" s="7"/>
      <c r="G356" s="7"/>
      <c r="H356" s="58" t="str">
        <f t="shared" si="2"/>
        <v/>
      </c>
      <c r="I356" s="58" t="str">
        <f t="shared" si="5"/>
        <v/>
      </c>
      <c r="J356" s="58" t="str">
        <f t="shared" si="6"/>
        <v/>
      </c>
      <c r="K356" s="58" t="str">
        <f t="shared" si="7"/>
        <v/>
      </c>
      <c r="L356" s="6" t="str">
        <f t="shared" si="4"/>
        <v/>
      </c>
      <c r="M356" s="60" t="str">
        <f t="shared" si="3"/>
        <v/>
      </c>
    </row>
    <row r="357">
      <c r="A357" s="56" t="str">
        <f t="shared" si="1"/>
        <v/>
      </c>
      <c r="B357" s="57"/>
      <c r="C357" s="7"/>
      <c r="D357" s="7"/>
      <c r="E357" s="7"/>
      <c r="F357" s="7"/>
      <c r="G357" s="7"/>
      <c r="H357" s="58" t="str">
        <f t="shared" si="2"/>
        <v/>
      </c>
      <c r="I357" s="58" t="str">
        <f t="shared" si="5"/>
        <v/>
      </c>
      <c r="J357" s="58" t="str">
        <f t="shared" si="6"/>
        <v/>
      </c>
      <c r="K357" s="58" t="str">
        <f t="shared" si="7"/>
        <v/>
      </c>
      <c r="L357" s="6" t="str">
        <f t="shared" si="4"/>
        <v/>
      </c>
      <c r="M357" s="60" t="str">
        <f t="shared" si="3"/>
        <v/>
      </c>
    </row>
    <row r="358">
      <c r="A358" s="56" t="str">
        <f t="shared" si="1"/>
        <v/>
      </c>
      <c r="B358" s="57"/>
      <c r="C358" s="7"/>
      <c r="D358" s="7"/>
      <c r="E358" s="7"/>
      <c r="F358" s="7"/>
      <c r="G358" s="7"/>
      <c r="H358" s="58" t="str">
        <f t="shared" si="2"/>
        <v/>
      </c>
      <c r="I358" s="58" t="str">
        <f t="shared" si="5"/>
        <v/>
      </c>
      <c r="J358" s="58" t="str">
        <f t="shared" si="6"/>
        <v/>
      </c>
      <c r="K358" s="58" t="str">
        <f t="shared" si="7"/>
        <v/>
      </c>
      <c r="L358" s="6" t="str">
        <f t="shared" si="4"/>
        <v/>
      </c>
      <c r="M358" s="60" t="str">
        <f t="shared" si="3"/>
        <v/>
      </c>
    </row>
    <row r="359">
      <c r="A359" s="56" t="str">
        <f t="shared" si="1"/>
        <v/>
      </c>
      <c r="B359" s="57"/>
      <c r="C359" s="7"/>
      <c r="D359" s="7"/>
      <c r="E359" s="7"/>
      <c r="F359" s="7"/>
      <c r="G359" s="7"/>
      <c r="H359" s="58" t="str">
        <f t="shared" si="2"/>
        <v/>
      </c>
      <c r="I359" s="58" t="str">
        <f t="shared" si="5"/>
        <v/>
      </c>
      <c r="J359" s="58" t="str">
        <f t="shared" si="6"/>
        <v/>
      </c>
      <c r="K359" s="58" t="str">
        <f t="shared" si="7"/>
        <v/>
      </c>
      <c r="L359" s="6" t="str">
        <f t="shared" si="4"/>
        <v/>
      </c>
      <c r="M359" s="60" t="str">
        <f t="shared" si="3"/>
        <v/>
      </c>
    </row>
    <row r="360">
      <c r="A360" s="56" t="str">
        <f t="shared" si="1"/>
        <v/>
      </c>
      <c r="B360" s="57"/>
      <c r="C360" s="7"/>
      <c r="D360" s="7"/>
      <c r="E360" s="7"/>
      <c r="F360" s="7"/>
      <c r="G360" s="7"/>
      <c r="H360" s="58" t="str">
        <f t="shared" si="2"/>
        <v/>
      </c>
      <c r="I360" s="58" t="str">
        <f t="shared" si="5"/>
        <v/>
      </c>
      <c r="J360" s="58" t="str">
        <f t="shared" si="6"/>
        <v/>
      </c>
      <c r="K360" s="58" t="str">
        <f t="shared" si="7"/>
        <v/>
      </c>
      <c r="L360" s="6" t="str">
        <f t="shared" si="4"/>
        <v/>
      </c>
      <c r="M360" s="60" t="str">
        <f t="shared" si="3"/>
        <v/>
      </c>
    </row>
    <row r="361">
      <c r="A361" s="56" t="str">
        <f t="shared" si="1"/>
        <v/>
      </c>
      <c r="B361" s="57"/>
      <c r="C361" s="7"/>
      <c r="D361" s="7"/>
      <c r="E361" s="7"/>
      <c r="F361" s="7"/>
      <c r="G361" s="7"/>
      <c r="H361" s="58" t="str">
        <f t="shared" si="2"/>
        <v/>
      </c>
      <c r="I361" s="58" t="str">
        <f t="shared" si="5"/>
        <v/>
      </c>
      <c r="J361" s="58" t="str">
        <f t="shared" si="6"/>
        <v/>
      </c>
      <c r="K361" s="58" t="str">
        <f t="shared" si="7"/>
        <v/>
      </c>
      <c r="L361" s="6" t="str">
        <f t="shared" si="4"/>
        <v/>
      </c>
      <c r="M361" s="60" t="str">
        <f t="shared" si="3"/>
        <v/>
      </c>
    </row>
    <row r="362">
      <c r="A362" s="56" t="str">
        <f t="shared" si="1"/>
        <v/>
      </c>
      <c r="B362" s="57"/>
      <c r="C362" s="7"/>
      <c r="D362" s="7"/>
      <c r="E362" s="7"/>
      <c r="F362" s="7"/>
      <c r="G362" s="7"/>
      <c r="H362" s="58" t="str">
        <f t="shared" si="2"/>
        <v/>
      </c>
      <c r="I362" s="58" t="str">
        <f t="shared" si="5"/>
        <v/>
      </c>
      <c r="J362" s="58" t="str">
        <f t="shared" si="6"/>
        <v/>
      </c>
      <c r="K362" s="58" t="str">
        <f t="shared" si="7"/>
        <v/>
      </c>
      <c r="L362" s="6" t="str">
        <f t="shared" si="4"/>
        <v/>
      </c>
      <c r="M362" s="60" t="str">
        <f t="shared" si="3"/>
        <v/>
      </c>
    </row>
    <row r="363">
      <c r="A363" s="56" t="str">
        <f t="shared" si="1"/>
        <v/>
      </c>
      <c r="B363" s="57"/>
      <c r="C363" s="7"/>
      <c r="D363" s="7"/>
      <c r="E363" s="7"/>
      <c r="F363" s="7"/>
      <c r="G363" s="7"/>
      <c r="H363" s="58" t="str">
        <f t="shared" si="2"/>
        <v/>
      </c>
      <c r="I363" s="58" t="str">
        <f t="shared" si="5"/>
        <v/>
      </c>
      <c r="J363" s="58" t="str">
        <f t="shared" si="6"/>
        <v/>
      </c>
      <c r="K363" s="58" t="str">
        <f t="shared" si="7"/>
        <v/>
      </c>
      <c r="L363" s="6" t="str">
        <f t="shared" si="4"/>
        <v/>
      </c>
      <c r="M363" s="60" t="str">
        <f t="shared" si="3"/>
        <v/>
      </c>
    </row>
    <row r="364">
      <c r="A364" s="56" t="str">
        <f t="shared" si="1"/>
        <v/>
      </c>
      <c r="B364" s="57"/>
      <c r="C364" s="7"/>
      <c r="D364" s="7"/>
      <c r="E364" s="7"/>
      <c r="F364" s="7"/>
      <c r="G364" s="7"/>
      <c r="H364" s="58" t="str">
        <f t="shared" si="2"/>
        <v/>
      </c>
      <c r="I364" s="58" t="str">
        <f t="shared" si="5"/>
        <v/>
      </c>
      <c r="J364" s="58" t="str">
        <f t="shared" si="6"/>
        <v/>
      </c>
      <c r="K364" s="58" t="str">
        <f t="shared" si="7"/>
        <v/>
      </c>
      <c r="L364" s="6" t="str">
        <f t="shared" si="4"/>
        <v/>
      </c>
      <c r="M364" s="60" t="str">
        <f t="shared" si="3"/>
        <v/>
      </c>
    </row>
    <row r="365">
      <c r="A365" s="56" t="str">
        <f t="shared" si="1"/>
        <v/>
      </c>
      <c r="B365" s="57"/>
      <c r="C365" s="7"/>
      <c r="D365" s="7"/>
      <c r="E365" s="7"/>
      <c r="F365" s="7"/>
      <c r="G365" s="7"/>
      <c r="H365" s="58" t="str">
        <f t="shared" si="2"/>
        <v/>
      </c>
      <c r="I365" s="58" t="str">
        <f t="shared" si="5"/>
        <v/>
      </c>
      <c r="J365" s="58" t="str">
        <f t="shared" si="6"/>
        <v/>
      </c>
      <c r="K365" s="58" t="str">
        <f t="shared" si="7"/>
        <v/>
      </c>
      <c r="L365" s="6" t="str">
        <f t="shared" si="4"/>
        <v/>
      </c>
      <c r="M365" s="60" t="str">
        <f t="shared" si="3"/>
        <v/>
      </c>
    </row>
    <row r="366">
      <c r="A366" s="56" t="str">
        <f t="shared" si="1"/>
        <v/>
      </c>
      <c r="B366" s="57"/>
      <c r="C366" s="7"/>
      <c r="D366" s="7"/>
      <c r="E366" s="7"/>
      <c r="F366" s="7"/>
      <c r="G366" s="7"/>
      <c r="H366" s="58" t="str">
        <f t="shared" si="2"/>
        <v/>
      </c>
      <c r="I366" s="58" t="str">
        <f t="shared" si="5"/>
        <v/>
      </c>
      <c r="J366" s="58" t="str">
        <f t="shared" si="6"/>
        <v/>
      </c>
      <c r="K366" s="58" t="str">
        <f t="shared" si="7"/>
        <v/>
      </c>
      <c r="L366" s="6" t="str">
        <f t="shared" si="4"/>
        <v/>
      </c>
      <c r="M366" s="60" t="str">
        <f t="shared" si="3"/>
        <v/>
      </c>
    </row>
    <row r="367">
      <c r="A367" s="56" t="str">
        <f t="shared" si="1"/>
        <v/>
      </c>
      <c r="B367" s="57"/>
      <c r="C367" s="7"/>
      <c r="D367" s="7"/>
      <c r="E367" s="7"/>
      <c r="F367" s="7"/>
      <c r="G367" s="7"/>
      <c r="H367" s="58" t="str">
        <f t="shared" si="2"/>
        <v/>
      </c>
      <c r="I367" s="58" t="str">
        <f t="shared" si="5"/>
        <v/>
      </c>
      <c r="J367" s="58" t="str">
        <f t="shared" si="6"/>
        <v/>
      </c>
      <c r="K367" s="58" t="str">
        <f t="shared" si="7"/>
        <v/>
      </c>
      <c r="L367" s="6" t="str">
        <f t="shared" si="4"/>
        <v/>
      </c>
      <c r="M367" s="60" t="str">
        <f t="shared" si="3"/>
        <v/>
      </c>
    </row>
    <row r="368">
      <c r="A368" s="56" t="str">
        <f t="shared" si="1"/>
        <v/>
      </c>
      <c r="B368" s="57"/>
      <c r="C368" s="7"/>
      <c r="D368" s="7"/>
      <c r="E368" s="7"/>
      <c r="F368" s="7"/>
      <c r="G368" s="7"/>
      <c r="H368" s="58" t="str">
        <f t="shared" si="2"/>
        <v/>
      </c>
      <c r="I368" s="58" t="str">
        <f t="shared" si="5"/>
        <v/>
      </c>
      <c r="J368" s="58" t="str">
        <f t="shared" si="6"/>
        <v/>
      </c>
      <c r="K368" s="58" t="str">
        <f t="shared" si="7"/>
        <v/>
      </c>
      <c r="L368" s="6" t="str">
        <f t="shared" si="4"/>
        <v/>
      </c>
      <c r="M368" s="60" t="str">
        <f t="shared" si="3"/>
        <v/>
      </c>
    </row>
    <row r="369">
      <c r="A369" s="56" t="str">
        <f t="shared" si="1"/>
        <v/>
      </c>
      <c r="B369" s="57"/>
      <c r="C369" s="7"/>
      <c r="D369" s="7"/>
      <c r="E369" s="7"/>
      <c r="F369" s="7"/>
      <c r="G369" s="7"/>
      <c r="H369" s="58" t="str">
        <f t="shared" si="2"/>
        <v/>
      </c>
      <c r="I369" s="58" t="str">
        <f t="shared" si="5"/>
        <v/>
      </c>
      <c r="J369" s="58" t="str">
        <f t="shared" si="6"/>
        <v/>
      </c>
      <c r="K369" s="58" t="str">
        <f t="shared" si="7"/>
        <v/>
      </c>
      <c r="L369" s="6" t="str">
        <f t="shared" si="4"/>
        <v/>
      </c>
      <c r="M369" s="60" t="str">
        <f t="shared" si="3"/>
        <v/>
      </c>
    </row>
    <row r="370">
      <c r="A370" s="56" t="str">
        <f t="shared" si="1"/>
        <v/>
      </c>
      <c r="B370" s="57"/>
      <c r="C370" s="7"/>
      <c r="D370" s="7"/>
      <c r="E370" s="7"/>
      <c r="F370" s="7"/>
      <c r="G370" s="7"/>
      <c r="H370" s="58" t="str">
        <f t="shared" si="2"/>
        <v/>
      </c>
      <c r="I370" s="58" t="str">
        <f t="shared" si="5"/>
        <v/>
      </c>
      <c r="J370" s="58" t="str">
        <f t="shared" si="6"/>
        <v/>
      </c>
      <c r="K370" s="58" t="str">
        <f t="shared" si="7"/>
        <v/>
      </c>
      <c r="L370" s="6" t="str">
        <f t="shared" si="4"/>
        <v/>
      </c>
      <c r="M370" s="60" t="str">
        <f t="shared" si="3"/>
        <v/>
      </c>
    </row>
    <row r="371">
      <c r="A371" s="56" t="str">
        <f t="shared" si="1"/>
        <v/>
      </c>
      <c r="B371" s="57"/>
      <c r="C371" s="7"/>
      <c r="D371" s="7"/>
      <c r="E371" s="7"/>
      <c r="F371" s="7"/>
      <c r="G371" s="7"/>
      <c r="H371" s="58" t="str">
        <f t="shared" si="2"/>
        <v/>
      </c>
      <c r="I371" s="58" t="str">
        <f t="shared" si="5"/>
        <v/>
      </c>
      <c r="J371" s="58" t="str">
        <f t="shared" si="6"/>
        <v/>
      </c>
      <c r="K371" s="58" t="str">
        <f t="shared" si="7"/>
        <v/>
      </c>
      <c r="L371" s="6" t="str">
        <f t="shared" si="4"/>
        <v/>
      </c>
      <c r="M371" s="60" t="str">
        <f t="shared" si="3"/>
        <v/>
      </c>
    </row>
    <row r="372">
      <c r="A372" s="56" t="str">
        <f t="shared" si="1"/>
        <v/>
      </c>
      <c r="B372" s="57"/>
      <c r="C372" s="7"/>
      <c r="D372" s="7"/>
      <c r="E372" s="7"/>
      <c r="F372" s="7"/>
      <c r="G372" s="7"/>
      <c r="H372" s="58" t="str">
        <f t="shared" si="2"/>
        <v/>
      </c>
      <c r="I372" s="58" t="str">
        <f t="shared" si="5"/>
        <v/>
      </c>
      <c r="J372" s="58" t="str">
        <f t="shared" si="6"/>
        <v/>
      </c>
      <c r="K372" s="58" t="str">
        <f t="shared" si="7"/>
        <v/>
      </c>
      <c r="L372" s="6" t="str">
        <f t="shared" si="4"/>
        <v/>
      </c>
      <c r="M372" s="60" t="str">
        <f t="shared" si="3"/>
        <v/>
      </c>
    </row>
    <row r="373">
      <c r="A373" s="56" t="str">
        <f t="shared" si="1"/>
        <v/>
      </c>
      <c r="B373" s="57"/>
      <c r="C373" s="7"/>
      <c r="D373" s="7"/>
      <c r="E373" s="7"/>
      <c r="F373" s="7"/>
      <c r="G373" s="7"/>
      <c r="H373" s="58" t="str">
        <f t="shared" si="2"/>
        <v/>
      </c>
      <c r="I373" s="58" t="str">
        <f t="shared" si="5"/>
        <v/>
      </c>
      <c r="J373" s="58" t="str">
        <f t="shared" si="6"/>
        <v/>
      </c>
      <c r="K373" s="58" t="str">
        <f t="shared" si="7"/>
        <v/>
      </c>
      <c r="L373" s="6" t="str">
        <f t="shared" si="4"/>
        <v/>
      </c>
      <c r="M373" s="60" t="str">
        <f t="shared" si="3"/>
        <v/>
      </c>
    </row>
    <row r="374">
      <c r="A374" s="56" t="str">
        <f t="shared" si="1"/>
        <v/>
      </c>
      <c r="B374" s="57"/>
      <c r="C374" s="7"/>
      <c r="D374" s="7"/>
      <c r="E374" s="7"/>
      <c r="F374" s="7"/>
      <c r="G374" s="7"/>
      <c r="H374" s="58" t="str">
        <f t="shared" si="2"/>
        <v/>
      </c>
      <c r="I374" s="58" t="str">
        <f t="shared" si="5"/>
        <v/>
      </c>
      <c r="J374" s="58" t="str">
        <f t="shared" si="6"/>
        <v/>
      </c>
      <c r="K374" s="58" t="str">
        <f t="shared" si="7"/>
        <v/>
      </c>
      <c r="L374" s="6" t="str">
        <f t="shared" si="4"/>
        <v/>
      </c>
      <c r="M374" s="60" t="str">
        <f t="shared" si="3"/>
        <v/>
      </c>
    </row>
    <row r="375">
      <c r="A375" s="56" t="str">
        <f t="shared" si="1"/>
        <v/>
      </c>
      <c r="B375" s="57"/>
      <c r="C375" s="7"/>
      <c r="D375" s="7"/>
      <c r="E375" s="7"/>
      <c r="F375" s="7"/>
      <c r="G375" s="7"/>
      <c r="H375" s="58" t="str">
        <f t="shared" si="2"/>
        <v/>
      </c>
      <c r="I375" s="58" t="str">
        <f t="shared" si="5"/>
        <v/>
      </c>
      <c r="J375" s="58" t="str">
        <f t="shared" si="6"/>
        <v/>
      </c>
      <c r="K375" s="58" t="str">
        <f t="shared" si="7"/>
        <v/>
      </c>
      <c r="L375" s="6" t="str">
        <f t="shared" si="4"/>
        <v/>
      </c>
      <c r="M375" s="60" t="str">
        <f t="shared" si="3"/>
        <v/>
      </c>
    </row>
    <row r="376">
      <c r="A376" s="56" t="str">
        <f t="shared" si="1"/>
        <v/>
      </c>
      <c r="B376" s="57"/>
      <c r="C376" s="7"/>
      <c r="D376" s="7"/>
      <c r="E376" s="7"/>
      <c r="F376" s="7"/>
      <c r="G376" s="7"/>
      <c r="H376" s="58" t="str">
        <f t="shared" si="2"/>
        <v/>
      </c>
      <c r="I376" s="58" t="str">
        <f t="shared" si="5"/>
        <v/>
      </c>
      <c r="J376" s="58" t="str">
        <f t="shared" si="6"/>
        <v/>
      </c>
      <c r="K376" s="58" t="str">
        <f t="shared" si="7"/>
        <v/>
      </c>
      <c r="L376" s="6" t="str">
        <f t="shared" si="4"/>
        <v/>
      </c>
      <c r="M376" s="60" t="str">
        <f t="shared" si="3"/>
        <v/>
      </c>
    </row>
    <row r="377">
      <c r="A377" s="56" t="str">
        <f t="shared" si="1"/>
        <v/>
      </c>
      <c r="B377" s="57"/>
      <c r="C377" s="7"/>
      <c r="D377" s="7"/>
      <c r="E377" s="7"/>
      <c r="F377" s="7"/>
      <c r="G377" s="7"/>
      <c r="H377" s="58" t="str">
        <f t="shared" si="2"/>
        <v/>
      </c>
      <c r="I377" s="58" t="str">
        <f t="shared" si="5"/>
        <v/>
      </c>
      <c r="J377" s="58" t="str">
        <f t="shared" si="6"/>
        <v/>
      </c>
      <c r="K377" s="58" t="str">
        <f t="shared" si="7"/>
        <v/>
      </c>
      <c r="L377" s="6" t="str">
        <f t="shared" si="4"/>
        <v/>
      </c>
      <c r="M377" s="60" t="str">
        <f t="shared" si="3"/>
        <v/>
      </c>
    </row>
    <row r="378">
      <c r="A378" s="56" t="str">
        <f t="shared" si="1"/>
        <v/>
      </c>
      <c r="B378" s="57"/>
      <c r="C378" s="7"/>
      <c r="D378" s="7"/>
      <c r="E378" s="7"/>
      <c r="F378" s="7"/>
      <c r="G378" s="7"/>
      <c r="H378" s="58" t="str">
        <f t="shared" si="2"/>
        <v/>
      </c>
      <c r="I378" s="58" t="str">
        <f t="shared" si="5"/>
        <v/>
      </c>
      <c r="J378" s="58" t="str">
        <f t="shared" si="6"/>
        <v/>
      </c>
      <c r="K378" s="58" t="str">
        <f t="shared" si="7"/>
        <v/>
      </c>
      <c r="L378" s="6" t="str">
        <f t="shared" si="4"/>
        <v/>
      </c>
      <c r="M378" s="60" t="str">
        <f t="shared" si="3"/>
        <v/>
      </c>
    </row>
    <row r="379">
      <c r="A379" s="56" t="str">
        <f t="shared" si="1"/>
        <v/>
      </c>
      <c r="B379" s="57"/>
      <c r="C379" s="7"/>
      <c r="D379" s="7"/>
      <c r="E379" s="7"/>
      <c r="F379" s="7"/>
      <c r="G379" s="7"/>
      <c r="H379" s="58" t="str">
        <f t="shared" si="2"/>
        <v/>
      </c>
      <c r="I379" s="58" t="str">
        <f t="shared" si="5"/>
        <v/>
      </c>
      <c r="J379" s="58" t="str">
        <f t="shared" si="6"/>
        <v/>
      </c>
      <c r="K379" s="58" t="str">
        <f t="shared" si="7"/>
        <v/>
      </c>
      <c r="L379" s="6" t="str">
        <f t="shared" si="4"/>
        <v/>
      </c>
      <c r="M379" s="60" t="str">
        <f t="shared" si="3"/>
        <v/>
      </c>
    </row>
    <row r="380">
      <c r="A380" s="56" t="str">
        <f t="shared" si="1"/>
        <v/>
      </c>
      <c r="B380" s="57"/>
      <c r="C380" s="7"/>
      <c r="D380" s="7"/>
      <c r="E380" s="7"/>
      <c r="F380" s="7"/>
      <c r="G380" s="7"/>
      <c r="H380" s="58" t="str">
        <f t="shared" si="2"/>
        <v/>
      </c>
      <c r="I380" s="58" t="str">
        <f t="shared" si="5"/>
        <v/>
      </c>
      <c r="J380" s="58" t="str">
        <f t="shared" si="6"/>
        <v/>
      </c>
      <c r="K380" s="58" t="str">
        <f t="shared" si="7"/>
        <v/>
      </c>
      <c r="L380" s="6" t="str">
        <f t="shared" si="4"/>
        <v/>
      </c>
      <c r="M380" s="60" t="str">
        <f t="shared" si="3"/>
        <v/>
      </c>
    </row>
    <row r="381">
      <c r="A381" s="56" t="str">
        <f t="shared" si="1"/>
        <v/>
      </c>
      <c r="B381" s="57"/>
      <c r="C381" s="7"/>
      <c r="D381" s="7"/>
      <c r="E381" s="7"/>
      <c r="F381" s="7"/>
      <c r="G381" s="7"/>
      <c r="H381" s="58" t="str">
        <f t="shared" si="2"/>
        <v/>
      </c>
      <c r="I381" s="58" t="str">
        <f t="shared" si="5"/>
        <v/>
      </c>
      <c r="J381" s="58" t="str">
        <f t="shared" si="6"/>
        <v/>
      </c>
      <c r="K381" s="58" t="str">
        <f t="shared" si="7"/>
        <v/>
      </c>
      <c r="L381" s="6" t="str">
        <f t="shared" si="4"/>
        <v/>
      </c>
      <c r="M381" s="60" t="str">
        <f t="shared" si="3"/>
        <v/>
      </c>
    </row>
    <row r="382">
      <c r="A382" s="56" t="str">
        <f t="shared" si="1"/>
        <v/>
      </c>
      <c r="B382" s="57"/>
      <c r="C382" s="7"/>
      <c r="D382" s="7"/>
      <c r="E382" s="7"/>
      <c r="F382" s="7"/>
      <c r="G382" s="7"/>
      <c r="H382" s="58" t="str">
        <f t="shared" si="2"/>
        <v/>
      </c>
      <c r="I382" s="58" t="str">
        <f t="shared" si="5"/>
        <v/>
      </c>
      <c r="J382" s="58" t="str">
        <f t="shared" si="6"/>
        <v/>
      </c>
      <c r="K382" s="58" t="str">
        <f t="shared" si="7"/>
        <v/>
      </c>
      <c r="L382" s="6" t="str">
        <f t="shared" si="4"/>
        <v/>
      </c>
      <c r="M382" s="60" t="str">
        <f t="shared" si="3"/>
        <v/>
      </c>
    </row>
    <row r="383">
      <c r="A383" s="56" t="str">
        <f t="shared" si="1"/>
        <v/>
      </c>
      <c r="B383" s="57"/>
      <c r="C383" s="7"/>
      <c r="D383" s="7"/>
      <c r="E383" s="7"/>
      <c r="F383" s="7"/>
      <c r="G383" s="7"/>
      <c r="H383" s="58" t="str">
        <f t="shared" si="2"/>
        <v/>
      </c>
      <c r="I383" s="58" t="str">
        <f t="shared" si="5"/>
        <v/>
      </c>
      <c r="J383" s="58" t="str">
        <f t="shared" si="6"/>
        <v/>
      </c>
      <c r="K383" s="58" t="str">
        <f t="shared" si="7"/>
        <v/>
      </c>
      <c r="L383" s="6" t="str">
        <f t="shared" si="4"/>
        <v/>
      </c>
      <c r="M383" s="60" t="str">
        <f t="shared" si="3"/>
        <v/>
      </c>
    </row>
    <row r="384">
      <c r="A384" s="56" t="str">
        <f t="shared" si="1"/>
        <v/>
      </c>
      <c r="B384" s="57"/>
      <c r="C384" s="7"/>
      <c r="D384" s="7"/>
      <c r="E384" s="7"/>
      <c r="F384" s="7"/>
      <c r="G384" s="7"/>
      <c r="H384" s="58" t="str">
        <f t="shared" si="2"/>
        <v/>
      </c>
      <c r="I384" s="58" t="str">
        <f t="shared" si="5"/>
        <v/>
      </c>
      <c r="J384" s="58" t="str">
        <f t="shared" si="6"/>
        <v/>
      </c>
      <c r="K384" s="58" t="str">
        <f t="shared" si="7"/>
        <v/>
      </c>
      <c r="L384" s="6" t="str">
        <f t="shared" si="4"/>
        <v/>
      </c>
      <c r="M384" s="60" t="str">
        <f t="shared" si="3"/>
        <v/>
      </c>
    </row>
    <row r="385">
      <c r="A385" s="56" t="str">
        <f t="shared" si="1"/>
        <v/>
      </c>
      <c r="B385" s="57"/>
      <c r="C385" s="7"/>
      <c r="D385" s="7"/>
      <c r="E385" s="7"/>
      <c r="F385" s="7"/>
      <c r="G385" s="7"/>
      <c r="H385" s="58" t="str">
        <f t="shared" si="2"/>
        <v/>
      </c>
      <c r="I385" s="58" t="str">
        <f t="shared" si="5"/>
        <v/>
      </c>
      <c r="J385" s="58" t="str">
        <f t="shared" si="6"/>
        <v/>
      </c>
      <c r="K385" s="58" t="str">
        <f t="shared" si="7"/>
        <v/>
      </c>
      <c r="L385" s="6" t="str">
        <f t="shared" si="4"/>
        <v/>
      </c>
      <c r="M385" s="60" t="str">
        <f t="shared" si="3"/>
        <v/>
      </c>
    </row>
    <row r="386">
      <c r="A386" s="56" t="str">
        <f t="shared" si="1"/>
        <v/>
      </c>
      <c r="B386" s="57"/>
      <c r="C386" s="7"/>
      <c r="D386" s="7"/>
      <c r="E386" s="7"/>
      <c r="F386" s="7"/>
      <c r="G386" s="7"/>
      <c r="H386" s="58" t="str">
        <f t="shared" si="2"/>
        <v/>
      </c>
      <c r="I386" s="58" t="str">
        <f t="shared" si="5"/>
        <v/>
      </c>
      <c r="J386" s="58" t="str">
        <f t="shared" si="6"/>
        <v/>
      </c>
      <c r="K386" s="58" t="str">
        <f t="shared" si="7"/>
        <v/>
      </c>
      <c r="L386" s="6" t="str">
        <f t="shared" si="4"/>
        <v/>
      </c>
      <c r="M386" s="60" t="str">
        <f t="shared" si="3"/>
        <v/>
      </c>
    </row>
    <row r="387">
      <c r="A387" s="56" t="str">
        <f t="shared" si="1"/>
        <v/>
      </c>
      <c r="B387" s="57"/>
      <c r="C387" s="7"/>
      <c r="D387" s="7"/>
      <c r="E387" s="7"/>
      <c r="F387" s="7"/>
      <c r="G387" s="7"/>
      <c r="H387" s="58" t="str">
        <f t="shared" si="2"/>
        <v/>
      </c>
      <c r="I387" s="58" t="str">
        <f t="shared" si="5"/>
        <v/>
      </c>
      <c r="J387" s="58" t="str">
        <f t="shared" si="6"/>
        <v/>
      </c>
      <c r="K387" s="58" t="str">
        <f t="shared" si="7"/>
        <v/>
      </c>
      <c r="L387" s="6" t="str">
        <f t="shared" si="4"/>
        <v/>
      </c>
      <c r="M387" s="60" t="str">
        <f t="shared" si="3"/>
        <v/>
      </c>
    </row>
    <row r="388">
      <c r="A388" s="56" t="str">
        <f t="shared" si="1"/>
        <v/>
      </c>
      <c r="B388" s="57"/>
      <c r="C388" s="7"/>
      <c r="D388" s="7"/>
      <c r="E388" s="7"/>
      <c r="F388" s="7"/>
      <c r="G388" s="7"/>
      <c r="H388" s="58" t="str">
        <f t="shared" si="2"/>
        <v/>
      </c>
      <c r="I388" s="58" t="str">
        <f t="shared" si="5"/>
        <v/>
      </c>
      <c r="J388" s="58" t="str">
        <f t="shared" si="6"/>
        <v/>
      </c>
      <c r="K388" s="58" t="str">
        <f t="shared" si="7"/>
        <v/>
      </c>
      <c r="L388" s="6" t="str">
        <f t="shared" si="4"/>
        <v/>
      </c>
      <c r="M388" s="60" t="str">
        <f t="shared" si="3"/>
        <v/>
      </c>
    </row>
    <row r="389">
      <c r="A389" s="56" t="str">
        <f t="shared" si="1"/>
        <v/>
      </c>
      <c r="B389" s="57"/>
      <c r="C389" s="7"/>
      <c r="D389" s="7"/>
      <c r="E389" s="7"/>
      <c r="F389" s="7"/>
      <c r="G389" s="7"/>
      <c r="H389" s="58" t="str">
        <f t="shared" si="2"/>
        <v/>
      </c>
      <c r="I389" s="58" t="str">
        <f t="shared" si="5"/>
        <v/>
      </c>
      <c r="J389" s="58" t="str">
        <f t="shared" si="6"/>
        <v/>
      </c>
      <c r="K389" s="58" t="str">
        <f t="shared" si="7"/>
        <v/>
      </c>
      <c r="L389" s="6" t="str">
        <f t="shared" si="4"/>
        <v/>
      </c>
      <c r="M389" s="60" t="str">
        <f t="shared" si="3"/>
        <v/>
      </c>
    </row>
    <row r="390">
      <c r="A390" s="56" t="str">
        <f t="shared" si="1"/>
        <v/>
      </c>
      <c r="B390" s="57"/>
      <c r="C390" s="7"/>
      <c r="D390" s="7"/>
      <c r="E390" s="7"/>
      <c r="F390" s="7"/>
      <c r="G390" s="7"/>
      <c r="H390" s="58" t="str">
        <f t="shared" si="2"/>
        <v/>
      </c>
      <c r="I390" s="58" t="str">
        <f t="shared" si="5"/>
        <v/>
      </c>
      <c r="J390" s="58" t="str">
        <f t="shared" si="6"/>
        <v/>
      </c>
      <c r="K390" s="58" t="str">
        <f t="shared" si="7"/>
        <v/>
      </c>
      <c r="L390" s="6" t="str">
        <f t="shared" si="4"/>
        <v/>
      </c>
      <c r="M390" s="60" t="str">
        <f t="shared" si="3"/>
        <v/>
      </c>
    </row>
    <row r="391">
      <c r="A391" s="56" t="str">
        <f t="shared" si="1"/>
        <v/>
      </c>
      <c r="B391" s="57"/>
      <c r="C391" s="7"/>
      <c r="D391" s="7"/>
      <c r="E391" s="7"/>
      <c r="F391" s="7"/>
      <c r="G391" s="7"/>
      <c r="H391" s="58" t="str">
        <f t="shared" si="2"/>
        <v/>
      </c>
      <c r="I391" s="58" t="str">
        <f t="shared" si="5"/>
        <v/>
      </c>
      <c r="J391" s="58" t="str">
        <f t="shared" si="6"/>
        <v/>
      </c>
      <c r="K391" s="58" t="str">
        <f t="shared" si="7"/>
        <v/>
      </c>
      <c r="L391" s="6" t="str">
        <f t="shared" si="4"/>
        <v/>
      </c>
      <c r="M391" s="60" t="str">
        <f t="shared" si="3"/>
        <v/>
      </c>
    </row>
    <row r="392">
      <c r="A392" s="56" t="str">
        <f t="shared" si="1"/>
        <v/>
      </c>
      <c r="B392" s="57"/>
      <c r="C392" s="7"/>
      <c r="D392" s="7"/>
      <c r="E392" s="7"/>
      <c r="F392" s="7"/>
      <c r="G392" s="7"/>
      <c r="H392" s="58" t="str">
        <f t="shared" si="2"/>
        <v/>
      </c>
      <c r="I392" s="58" t="str">
        <f t="shared" si="5"/>
        <v/>
      </c>
      <c r="J392" s="58" t="str">
        <f t="shared" si="6"/>
        <v/>
      </c>
      <c r="K392" s="58" t="str">
        <f t="shared" si="7"/>
        <v/>
      </c>
      <c r="L392" s="6" t="str">
        <f t="shared" si="4"/>
        <v/>
      </c>
      <c r="M392" s="60" t="str">
        <f t="shared" si="3"/>
        <v/>
      </c>
    </row>
    <row r="393">
      <c r="A393" s="56" t="str">
        <f t="shared" si="1"/>
        <v/>
      </c>
      <c r="B393" s="57"/>
      <c r="C393" s="7"/>
      <c r="D393" s="7"/>
      <c r="E393" s="7"/>
      <c r="F393" s="7"/>
      <c r="G393" s="7"/>
      <c r="H393" s="58" t="str">
        <f t="shared" si="2"/>
        <v/>
      </c>
      <c r="I393" s="58" t="str">
        <f t="shared" si="5"/>
        <v/>
      </c>
      <c r="J393" s="58" t="str">
        <f t="shared" si="6"/>
        <v/>
      </c>
      <c r="K393" s="58" t="str">
        <f t="shared" si="7"/>
        <v/>
      </c>
      <c r="L393" s="6" t="str">
        <f t="shared" si="4"/>
        <v/>
      </c>
      <c r="M393" s="60" t="str">
        <f t="shared" si="3"/>
        <v/>
      </c>
    </row>
    <row r="394">
      <c r="A394" s="56" t="str">
        <f t="shared" si="1"/>
        <v/>
      </c>
      <c r="B394" s="57"/>
      <c r="C394" s="7"/>
      <c r="D394" s="7"/>
      <c r="E394" s="7"/>
      <c r="F394" s="7"/>
      <c r="G394" s="7"/>
      <c r="H394" s="58" t="str">
        <f t="shared" si="2"/>
        <v/>
      </c>
      <c r="I394" s="58" t="str">
        <f t="shared" si="5"/>
        <v/>
      </c>
      <c r="J394" s="58" t="str">
        <f t="shared" si="6"/>
        <v/>
      </c>
      <c r="K394" s="58" t="str">
        <f t="shared" si="7"/>
        <v/>
      </c>
      <c r="L394" s="6" t="str">
        <f t="shared" si="4"/>
        <v/>
      </c>
      <c r="M394" s="60" t="str">
        <f t="shared" si="3"/>
        <v/>
      </c>
    </row>
    <row r="395">
      <c r="A395" s="56" t="str">
        <f t="shared" si="1"/>
        <v/>
      </c>
      <c r="B395" s="57"/>
      <c r="C395" s="7"/>
      <c r="D395" s="7"/>
      <c r="E395" s="7"/>
      <c r="F395" s="7"/>
      <c r="G395" s="7"/>
      <c r="H395" s="58" t="str">
        <f t="shared" si="2"/>
        <v/>
      </c>
      <c r="I395" s="58" t="str">
        <f t="shared" si="5"/>
        <v/>
      </c>
      <c r="J395" s="58" t="str">
        <f t="shared" si="6"/>
        <v/>
      </c>
      <c r="K395" s="58" t="str">
        <f t="shared" si="7"/>
        <v/>
      </c>
      <c r="L395" s="6" t="str">
        <f t="shared" si="4"/>
        <v/>
      </c>
      <c r="M395" s="60" t="str">
        <f t="shared" si="3"/>
        <v/>
      </c>
    </row>
    <row r="396">
      <c r="A396" s="56" t="str">
        <f t="shared" si="1"/>
        <v/>
      </c>
      <c r="B396" s="57"/>
      <c r="C396" s="7"/>
      <c r="D396" s="7"/>
      <c r="E396" s="7"/>
      <c r="F396" s="7"/>
      <c r="G396" s="7"/>
      <c r="H396" s="58" t="str">
        <f t="shared" si="2"/>
        <v/>
      </c>
      <c r="I396" s="58" t="str">
        <f t="shared" si="5"/>
        <v/>
      </c>
      <c r="J396" s="58" t="str">
        <f t="shared" si="6"/>
        <v/>
      </c>
      <c r="K396" s="58" t="str">
        <f t="shared" si="7"/>
        <v/>
      </c>
      <c r="L396" s="6" t="str">
        <f t="shared" si="4"/>
        <v/>
      </c>
      <c r="M396" s="60" t="str">
        <f t="shared" si="3"/>
        <v/>
      </c>
    </row>
    <row r="397">
      <c r="A397" s="56" t="str">
        <f t="shared" si="1"/>
        <v/>
      </c>
      <c r="B397" s="57"/>
      <c r="C397" s="7"/>
      <c r="D397" s="7"/>
      <c r="E397" s="7"/>
      <c r="F397" s="7"/>
      <c r="G397" s="7"/>
      <c r="H397" s="58" t="str">
        <f t="shared" si="2"/>
        <v/>
      </c>
      <c r="I397" s="58" t="str">
        <f t="shared" si="5"/>
        <v/>
      </c>
      <c r="J397" s="58" t="str">
        <f t="shared" si="6"/>
        <v/>
      </c>
      <c r="K397" s="58" t="str">
        <f t="shared" si="7"/>
        <v/>
      </c>
      <c r="L397" s="6" t="str">
        <f t="shared" si="4"/>
        <v/>
      </c>
      <c r="M397" s="60" t="str">
        <f t="shared" si="3"/>
        <v/>
      </c>
    </row>
    <row r="398">
      <c r="A398" s="56" t="str">
        <f t="shared" si="1"/>
        <v/>
      </c>
      <c r="B398" s="57"/>
      <c r="C398" s="7"/>
      <c r="D398" s="7"/>
      <c r="E398" s="7"/>
      <c r="F398" s="7"/>
      <c r="G398" s="7"/>
      <c r="H398" s="58" t="str">
        <f t="shared" si="2"/>
        <v/>
      </c>
      <c r="I398" s="58" t="str">
        <f t="shared" si="5"/>
        <v/>
      </c>
      <c r="J398" s="58" t="str">
        <f t="shared" si="6"/>
        <v/>
      </c>
      <c r="K398" s="58" t="str">
        <f t="shared" si="7"/>
        <v/>
      </c>
      <c r="L398" s="6" t="str">
        <f t="shared" si="4"/>
        <v/>
      </c>
      <c r="M398" s="60" t="str">
        <f t="shared" si="3"/>
        <v/>
      </c>
    </row>
    <row r="399">
      <c r="A399" s="56" t="str">
        <f t="shared" si="1"/>
        <v/>
      </c>
      <c r="B399" s="57"/>
      <c r="C399" s="7"/>
      <c r="D399" s="7"/>
      <c r="E399" s="7"/>
      <c r="F399" s="7"/>
      <c r="G399" s="7"/>
      <c r="H399" s="58" t="str">
        <f t="shared" si="2"/>
        <v/>
      </c>
      <c r="I399" s="58" t="str">
        <f t="shared" si="5"/>
        <v/>
      </c>
      <c r="J399" s="58" t="str">
        <f t="shared" si="6"/>
        <v/>
      </c>
      <c r="K399" s="58" t="str">
        <f t="shared" si="7"/>
        <v/>
      </c>
      <c r="L399" s="6" t="str">
        <f t="shared" si="4"/>
        <v/>
      </c>
      <c r="M399" s="60" t="str">
        <f t="shared" si="3"/>
        <v/>
      </c>
    </row>
    <row r="400">
      <c r="A400" s="56" t="str">
        <f t="shared" si="1"/>
        <v/>
      </c>
      <c r="B400" s="57"/>
      <c r="C400" s="7"/>
      <c r="D400" s="7"/>
      <c r="E400" s="7"/>
      <c r="F400" s="7"/>
      <c r="G400" s="7"/>
      <c r="H400" s="58" t="str">
        <f t="shared" si="2"/>
        <v/>
      </c>
      <c r="I400" s="58" t="str">
        <f t="shared" si="5"/>
        <v/>
      </c>
      <c r="J400" s="58" t="str">
        <f t="shared" si="6"/>
        <v/>
      </c>
      <c r="K400" s="58" t="str">
        <f t="shared" si="7"/>
        <v/>
      </c>
      <c r="L400" s="6" t="str">
        <f t="shared" si="4"/>
        <v/>
      </c>
      <c r="M400" s="60" t="str">
        <f t="shared" si="3"/>
        <v/>
      </c>
    </row>
    <row r="401">
      <c r="M401" s="63"/>
    </row>
    <row r="402">
      <c r="M402" s="63"/>
    </row>
    <row r="403">
      <c r="M403" s="63"/>
    </row>
    <row r="404">
      <c r="M404" s="63"/>
    </row>
    <row r="405">
      <c r="M405" s="63"/>
    </row>
    <row r="406">
      <c r="M406" s="63"/>
    </row>
    <row r="407">
      <c r="M407" s="63"/>
    </row>
    <row r="408">
      <c r="M408" s="63"/>
    </row>
    <row r="409">
      <c r="M409" s="63"/>
    </row>
    <row r="410">
      <c r="M410" s="63"/>
    </row>
    <row r="411">
      <c r="M411" s="63"/>
    </row>
    <row r="412">
      <c r="M412" s="63"/>
    </row>
    <row r="413">
      <c r="M413" s="63"/>
    </row>
    <row r="414">
      <c r="M414" s="63"/>
    </row>
    <row r="415">
      <c r="M415" s="63"/>
    </row>
    <row r="416">
      <c r="M416" s="63"/>
    </row>
    <row r="417">
      <c r="M417" s="63"/>
    </row>
    <row r="418">
      <c r="M418" s="63"/>
    </row>
    <row r="419">
      <c r="M419" s="63"/>
    </row>
    <row r="420">
      <c r="M420" s="63"/>
    </row>
    <row r="421">
      <c r="M421" s="63"/>
    </row>
    <row r="422">
      <c r="M422" s="63"/>
    </row>
    <row r="423">
      <c r="M423" s="63"/>
    </row>
    <row r="424">
      <c r="M424" s="63"/>
    </row>
    <row r="425">
      <c r="M425" s="63"/>
    </row>
    <row r="426">
      <c r="M426" s="63"/>
    </row>
    <row r="427">
      <c r="M427" s="63"/>
    </row>
    <row r="428">
      <c r="M428" s="63"/>
    </row>
    <row r="429">
      <c r="M429" s="63"/>
    </row>
    <row r="430">
      <c r="M430" s="63"/>
    </row>
    <row r="431">
      <c r="M431" s="63"/>
    </row>
    <row r="432">
      <c r="M432" s="63"/>
    </row>
    <row r="433">
      <c r="M433" s="63"/>
    </row>
    <row r="434">
      <c r="M434" s="63"/>
    </row>
    <row r="435">
      <c r="M435" s="63"/>
    </row>
    <row r="436">
      <c r="M436" s="63"/>
    </row>
    <row r="437">
      <c r="M437" s="63"/>
    </row>
    <row r="438">
      <c r="M438" s="63"/>
    </row>
    <row r="439">
      <c r="M439" s="63"/>
    </row>
    <row r="440">
      <c r="M440" s="63"/>
    </row>
    <row r="441">
      <c r="M441" s="63"/>
    </row>
    <row r="442">
      <c r="M442" s="63"/>
    </row>
    <row r="443">
      <c r="M443" s="63"/>
    </row>
    <row r="444">
      <c r="M444" s="63"/>
    </row>
    <row r="445">
      <c r="M445" s="63"/>
    </row>
    <row r="446">
      <c r="M446" s="63"/>
    </row>
    <row r="447">
      <c r="M447" s="63"/>
    </row>
    <row r="448">
      <c r="M448" s="63"/>
    </row>
    <row r="449">
      <c r="M449" s="63"/>
    </row>
    <row r="450">
      <c r="M450" s="63"/>
    </row>
    <row r="451">
      <c r="M451" s="63"/>
    </row>
    <row r="452">
      <c r="M452" s="63"/>
    </row>
    <row r="453">
      <c r="M453" s="63"/>
    </row>
    <row r="454">
      <c r="M454" s="63"/>
    </row>
    <row r="455">
      <c r="M455" s="63"/>
    </row>
    <row r="456">
      <c r="M456" s="63"/>
    </row>
    <row r="457">
      <c r="M457" s="63"/>
    </row>
    <row r="458">
      <c r="M458" s="63"/>
    </row>
    <row r="459">
      <c r="M459" s="63"/>
    </row>
    <row r="460">
      <c r="M460" s="63"/>
    </row>
    <row r="461">
      <c r="M461" s="63"/>
    </row>
    <row r="462">
      <c r="M462" s="63"/>
    </row>
    <row r="463">
      <c r="M463" s="63"/>
    </row>
    <row r="464">
      <c r="M464" s="63"/>
    </row>
    <row r="465">
      <c r="M465" s="63"/>
    </row>
    <row r="466">
      <c r="M466" s="63"/>
    </row>
    <row r="467">
      <c r="M467" s="63"/>
    </row>
    <row r="468">
      <c r="M468" s="63"/>
    </row>
    <row r="469">
      <c r="M469" s="63"/>
    </row>
    <row r="470">
      <c r="M470" s="63"/>
    </row>
    <row r="471">
      <c r="M471" s="63"/>
    </row>
    <row r="472">
      <c r="M472" s="63"/>
    </row>
    <row r="473">
      <c r="M473" s="63"/>
    </row>
    <row r="474">
      <c r="M474" s="63"/>
    </row>
    <row r="475">
      <c r="M475" s="63"/>
    </row>
    <row r="476">
      <c r="M476" s="63"/>
    </row>
    <row r="477">
      <c r="M477" s="63"/>
    </row>
    <row r="478">
      <c r="M478" s="63"/>
    </row>
    <row r="479">
      <c r="M479" s="63"/>
    </row>
    <row r="480">
      <c r="M480" s="63"/>
    </row>
    <row r="481">
      <c r="M481" s="63"/>
    </row>
    <row r="482">
      <c r="M482" s="63"/>
    </row>
    <row r="483">
      <c r="M483" s="63"/>
    </row>
    <row r="484">
      <c r="M484" s="63"/>
    </row>
    <row r="485">
      <c r="M485" s="63"/>
    </row>
    <row r="486">
      <c r="M486" s="63"/>
    </row>
    <row r="487">
      <c r="M487" s="63"/>
    </row>
    <row r="488">
      <c r="M488" s="63"/>
    </row>
    <row r="489">
      <c r="M489" s="63"/>
    </row>
    <row r="490">
      <c r="M490" s="63"/>
    </row>
    <row r="491">
      <c r="M491" s="63"/>
    </row>
    <row r="492">
      <c r="M492" s="63"/>
    </row>
    <row r="493">
      <c r="M493" s="63"/>
    </row>
    <row r="494">
      <c r="M494" s="63"/>
    </row>
    <row r="495">
      <c r="M495" s="63"/>
    </row>
    <row r="496">
      <c r="M496" s="63"/>
    </row>
    <row r="497">
      <c r="M497" s="63"/>
    </row>
    <row r="498">
      <c r="M498" s="63"/>
    </row>
    <row r="499">
      <c r="M499" s="63"/>
    </row>
    <row r="500">
      <c r="M500" s="63"/>
    </row>
    <row r="501">
      <c r="M501" s="63"/>
    </row>
    <row r="502">
      <c r="M502" s="63"/>
    </row>
    <row r="503">
      <c r="M503" s="63"/>
    </row>
    <row r="504">
      <c r="M504" s="63"/>
    </row>
    <row r="505">
      <c r="M505" s="63"/>
    </row>
    <row r="506">
      <c r="M506" s="63"/>
    </row>
    <row r="507">
      <c r="M507" s="63"/>
    </row>
    <row r="508">
      <c r="M508" s="63"/>
    </row>
    <row r="509">
      <c r="M509" s="63"/>
    </row>
    <row r="510">
      <c r="M510" s="63"/>
    </row>
    <row r="511">
      <c r="M511" s="63"/>
    </row>
    <row r="512">
      <c r="M512" s="63"/>
    </row>
    <row r="513">
      <c r="M513" s="63"/>
    </row>
    <row r="514">
      <c r="M514" s="63"/>
    </row>
    <row r="515">
      <c r="M515" s="63"/>
    </row>
    <row r="516">
      <c r="M516" s="63"/>
    </row>
    <row r="517">
      <c r="M517" s="63"/>
    </row>
    <row r="518">
      <c r="M518" s="63"/>
    </row>
    <row r="519">
      <c r="M519" s="63"/>
    </row>
    <row r="520">
      <c r="M520" s="63"/>
    </row>
    <row r="521">
      <c r="M521" s="63"/>
    </row>
    <row r="522">
      <c r="M522" s="63"/>
    </row>
    <row r="523">
      <c r="M523" s="63"/>
    </row>
    <row r="524">
      <c r="M524" s="63"/>
    </row>
    <row r="525">
      <c r="M525" s="63"/>
    </row>
    <row r="526">
      <c r="M526" s="63"/>
    </row>
    <row r="527">
      <c r="M527" s="63"/>
    </row>
    <row r="528">
      <c r="M528" s="63"/>
    </row>
    <row r="529">
      <c r="M529" s="63"/>
    </row>
    <row r="530">
      <c r="M530" s="63"/>
    </row>
    <row r="531">
      <c r="M531" s="63"/>
    </row>
    <row r="532">
      <c r="M532" s="63"/>
    </row>
    <row r="533">
      <c r="M533" s="63"/>
    </row>
    <row r="534">
      <c r="M534" s="63"/>
    </row>
    <row r="535">
      <c r="M535" s="63"/>
    </row>
    <row r="536">
      <c r="M536" s="63"/>
    </row>
    <row r="537">
      <c r="M537" s="63"/>
    </row>
    <row r="538">
      <c r="M538" s="63"/>
    </row>
    <row r="539">
      <c r="M539" s="63"/>
    </row>
    <row r="540">
      <c r="M540" s="63"/>
    </row>
    <row r="541">
      <c r="M541" s="63"/>
    </row>
    <row r="542">
      <c r="M542" s="63"/>
    </row>
    <row r="543">
      <c r="M543" s="63"/>
    </row>
    <row r="544">
      <c r="M544" s="63"/>
    </row>
    <row r="545">
      <c r="M545" s="63"/>
    </row>
    <row r="546">
      <c r="M546" s="63"/>
    </row>
    <row r="547">
      <c r="M547" s="63"/>
    </row>
    <row r="548">
      <c r="M548" s="63"/>
    </row>
    <row r="549">
      <c r="M549" s="63"/>
    </row>
    <row r="550">
      <c r="M550" s="63"/>
    </row>
    <row r="551">
      <c r="M551" s="63"/>
    </row>
    <row r="552">
      <c r="M552" s="63"/>
    </row>
    <row r="553">
      <c r="M553" s="63"/>
    </row>
    <row r="554">
      <c r="M554" s="63"/>
    </row>
    <row r="555">
      <c r="M555" s="63"/>
    </row>
    <row r="556">
      <c r="M556" s="63"/>
    </row>
    <row r="557">
      <c r="M557" s="63"/>
    </row>
    <row r="558">
      <c r="M558" s="63"/>
    </row>
    <row r="559">
      <c r="M559" s="63"/>
    </row>
    <row r="560">
      <c r="M560" s="63"/>
    </row>
    <row r="561">
      <c r="M561" s="63"/>
    </row>
    <row r="562">
      <c r="M562" s="63"/>
    </row>
    <row r="563">
      <c r="M563" s="63"/>
    </row>
    <row r="564">
      <c r="M564" s="63"/>
    </row>
    <row r="565">
      <c r="M565" s="63"/>
    </row>
    <row r="566">
      <c r="M566" s="63"/>
    </row>
    <row r="567">
      <c r="M567" s="63"/>
    </row>
    <row r="568">
      <c r="M568" s="63"/>
    </row>
    <row r="569">
      <c r="M569" s="63"/>
    </row>
    <row r="570">
      <c r="M570" s="63"/>
    </row>
    <row r="571">
      <c r="M571" s="63"/>
    </row>
    <row r="572">
      <c r="M572" s="63"/>
    </row>
    <row r="573">
      <c r="M573" s="63"/>
    </row>
    <row r="574">
      <c r="M574" s="63"/>
    </row>
    <row r="575">
      <c r="M575" s="63"/>
    </row>
    <row r="576">
      <c r="M576" s="63"/>
    </row>
    <row r="577">
      <c r="M577" s="63"/>
    </row>
    <row r="578">
      <c r="M578" s="63"/>
    </row>
    <row r="579">
      <c r="M579" s="63"/>
    </row>
    <row r="580">
      <c r="M580" s="63"/>
    </row>
    <row r="581">
      <c r="M581" s="63"/>
    </row>
    <row r="582">
      <c r="M582" s="63"/>
    </row>
    <row r="583">
      <c r="M583" s="63"/>
    </row>
    <row r="584">
      <c r="M584" s="63"/>
    </row>
    <row r="585">
      <c r="M585" s="63"/>
    </row>
    <row r="586">
      <c r="M586" s="63"/>
    </row>
    <row r="587">
      <c r="M587" s="63"/>
    </row>
    <row r="588">
      <c r="M588" s="63"/>
    </row>
    <row r="589">
      <c r="M589" s="63"/>
    </row>
    <row r="590">
      <c r="M590" s="63"/>
    </row>
    <row r="591">
      <c r="M591" s="63"/>
    </row>
    <row r="592">
      <c r="M592" s="63"/>
    </row>
    <row r="593">
      <c r="M593" s="63"/>
    </row>
    <row r="594">
      <c r="M594" s="63"/>
    </row>
    <row r="595">
      <c r="M595" s="63"/>
    </row>
    <row r="596">
      <c r="M596" s="63"/>
    </row>
    <row r="597">
      <c r="M597" s="63"/>
    </row>
    <row r="598">
      <c r="M598" s="63"/>
    </row>
    <row r="599">
      <c r="M599" s="63"/>
    </row>
    <row r="600">
      <c r="M600" s="63"/>
    </row>
    <row r="601">
      <c r="M601" s="63"/>
    </row>
    <row r="602">
      <c r="M602" s="63"/>
    </row>
    <row r="603">
      <c r="M603" s="63"/>
    </row>
    <row r="604">
      <c r="M604" s="63"/>
    </row>
    <row r="605">
      <c r="M605" s="63"/>
    </row>
    <row r="606">
      <c r="M606" s="63"/>
    </row>
    <row r="607">
      <c r="M607" s="63"/>
    </row>
    <row r="608">
      <c r="M608" s="63"/>
    </row>
    <row r="609">
      <c r="M609" s="63"/>
    </row>
    <row r="610">
      <c r="M610" s="63"/>
    </row>
    <row r="611">
      <c r="M611" s="63"/>
    </row>
    <row r="612">
      <c r="M612" s="63"/>
    </row>
    <row r="613">
      <c r="M613" s="63"/>
    </row>
    <row r="614">
      <c r="M614" s="63"/>
    </row>
    <row r="615">
      <c r="M615" s="63"/>
    </row>
    <row r="616">
      <c r="M616" s="63"/>
    </row>
    <row r="617">
      <c r="M617" s="63"/>
    </row>
    <row r="618">
      <c r="M618" s="63"/>
    </row>
    <row r="619">
      <c r="M619" s="63"/>
    </row>
    <row r="620">
      <c r="M620" s="63"/>
    </row>
    <row r="621">
      <c r="M621" s="63"/>
    </row>
    <row r="622">
      <c r="M622" s="63"/>
    </row>
    <row r="623">
      <c r="M623" s="63"/>
    </row>
    <row r="624">
      <c r="M624" s="63"/>
    </row>
    <row r="625">
      <c r="M625" s="63"/>
    </row>
    <row r="626">
      <c r="M626" s="63"/>
    </row>
    <row r="627">
      <c r="M627" s="63"/>
    </row>
    <row r="628">
      <c r="M628" s="63"/>
    </row>
    <row r="629">
      <c r="M629" s="63"/>
    </row>
    <row r="630">
      <c r="M630" s="63"/>
    </row>
    <row r="631">
      <c r="M631" s="63"/>
    </row>
    <row r="632">
      <c r="M632" s="63"/>
    </row>
    <row r="633">
      <c r="M633" s="63"/>
    </row>
    <row r="634">
      <c r="M634" s="63"/>
    </row>
    <row r="635">
      <c r="M635" s="63"/>
    </row>
    <row r="636">
      <c r="M636" s="63"/>
    </row>
    <row r="637">
      <c r="M637" s="63"/>
    </row>
    <row r="638">
      <c r="M638" s="63"/>
    </row>
    <row r="639">
      <c r="M639" s="63"/>
    </row>
    <row r="640">
      <c r="M640" s="63"/>
    </row>
    <row r="641">
      <c r="M641" s="63"/>
    </row>
    <row r="642">
      <c r="M642" s="63"/>
    </row>
    <row r="643">
      <c r="M643" s="63"/>
    </row>
    <row r="644">
      <c r="M644" s="63"/>
    </row>
    <row r="645">
      <c r="M645" s="63"/>
    </row>
    <row r="646">
      <c r="M646" s="63"/>
    </row>
    <row r="647">
      <c r="M647" s="63"/>
    </row>
    <row r="648">
      <c r="M648" s="63"/>
    </row>
    <row r="649">
      <c r="M649" s="63"/>
    </row>
    <row r="650">
      <c r="M650" s="63"/>
    </row>
    <row r="651">
      <c r="M651" s="63"/>
    </row>
    <row r="652">
      <c r="M652" s="63"/>
    </row>
    <row r="653">
      <c r="M653" s="63"/>
    </row>
    <row r="654">
      <c r="M654" s="63"/>
    </row>
    <row r="655">
      <c r="M655" s="63"/>
    </row>
    <row r="656">
      <c r="M656" s="63"/>
    </row>
    <row r="657">
      <c r="M657" s="63"/>
    </row>
    <row r="658">
      <c r="M658" s="63"/>
    </row>
    <row r="659">
      <c r="M659" s="63"/>
    </row>
    <row r="660">
      <c r="M660" s="63"/>
    </row>
    <row r="661">
      <c r="M661" s="63"/>
    </row>
    <row r="662">
      <c r="M662" s="63"/>
    </row>
    <row r="663">
      <c r="M663" s="63"/>
    </row>
    <row r="664">
      <c r="M664" s="63"/>
    </row>
    <row r="665">
      <c r="M665" s="63"/>
    </row>
    <row r="666">
      <c r="M666" s="63"/>
    </row>
    <row r="667">
      <c r="M667" s="63"/>
    </row>
    <row r="668">
      <c r="M668" s="63"/>
    </row>
    <row r="669">
      <c r="M669" s="63"/>
    </row>
    <row r="670">
      <c r="M670" s="63"/>
    </row>
    <row r="671">
      <c r="M671" s="63"/>
    </row>
    <row r="672">
      <c r="M672" s="63"/>
    </row>
    <row r="673">
      <c r="M673" s="63"/>
    </row>
    <row r="674">
      <c r="M674" s="63"/>
    </row>
    <row r="675">
      <c r="M675" s="63"/>
    </row>
    <row r="676">
      <c r="M676" s="63"/>
    </row>
    <row r="677">
      <c r="M677" s="63"/>
    </row>
    <row r="678">
      <c r="M678" s="63"/>
    </row>
    <row r="679">
      <c r="M679" s="63"/>
    </row>
    <row r="680">
      <c r="M680" s="63"/>
    </row>
    <row r="681">
      <c r="M681" s="63"/>
    </row>
    <row r="682">
      <c r="M682" s="63"/>
    </row>
    <row r="683">
      <c r="M683" s="63"/>
    </row>
    <row r="684">
      <c r="M684" s="63"/>
    </row>
    <row r="685">
      <c r="M685" s="63"/>
    </row>
    <row r="686">
      <c r="M686" s="63"/>
    </row>
    <row r="687">
      <c r="M687" s="63"/>
    </row>
    <row r="688">
      <c r="M688" s="63"/>
    </row>
    <row r="689">
      <c r="M689" s="63"/>
    </row>
    <row r="690">
      <c r="M690" s="63"/>
    </row>
    <row r="691">
      <c r="M691" s="63"/>
    </row>
    <row r="692">
      <c r="M692" s="63"/>
    </row>
    <row r="693">
      <c r="M693" s="63"/>
    </row>
    <row r="694">
      <c r="M694" s="63"/>
    </row>
    <row r="695">
      <c r="M695" s="63"/>
    </row>
    <row r="696">
      <c r="M696" s="63"/>
    </row>
    <row r="697">
      <c r="M697" s="63"/>
    </row>
    <row r="698">
      <c r="M698" s="63"/>
    </row>
    <row r="699">
      <c r="M699" s="63"/>
    </row>
    <row r="700">
      <c r="M700" s="63"/>
    </row>
    <row r="701">
      <c r="M701" s="63"/>
    </row>
    <row r="702">
      <c r="M702" s="63"/>
    </row>
    <row r="703">
      <c r="M703" s="63"/>
    </row>
    <row r="704">
      <c r="M704" s="63"/>
    </row>
    <row r="705">
      <c r="M705" s="63"/>
    </row>
    <row r="706">
      <c r="M706" s="63"/>
    </row>
    <row r="707">
      <c r="M707" s="63"/>
    </row>
    <row r="708">
      <c r="M708" s="63"/>
    </row>
    <row r="709">
      <c r="M709" s="63"/>
    </row>
    <row r="710">
      <c r="M710" s="63"/>
    </row>
    <row r="711">
      <c r="M711" s="63"/>
    </row>
    <row r="712">
      <c r="M712" s="63"/>
    </row>
    <row r="713">
      <c r="M713" s="63"/>
    </row>
    <row r="714">
      <c r="M714" s="63"/>
    </row>
    <row r="715">
      <c r="M715" s="63"/>
    </row>
    <row r="716">
      <c r="M716" s="63"/>
    </row>
    <row r="717">
      <c r="M717" s="63"/>
    </row>
    <row r="718">
      <c r="M718" s="63"/>
    </row>
    <row r="719">
      <c r="M719" s="63"/>
    </row>
    <row r="720">
      <c r="M720" s="63"/>
    </row>
    <row r="721">
      <c r="M721" s="63"/>
    </row>
    <row r="722">
      <c r="M722" s="63"/>
    </row>
    <row r="723">
      <c r="M723" s="63"/>
    </row>
    <row r="724">
      <c r="M724" s="63"/>
    </row>
    <row r="725">
      <c r="M725" s="63"/>
    </row>
    <row r="726">
      <c r="M726" s="63"/>
    </row>
    <row r="727">
      <c r="M727" s="63"/>
    </row>
    <row r="728">
      <c r="M728" s="63"/>
    </row>
    <row r="729">
      <c r="M729" s="63"/>
    </row>
    <row r="730">
      <c r="M730" s="63"/>
    </row>
    <row r="731">
      <c r="M731" s="63"/>
    </row>
    <row r="732">
      <c r="M732" s="63"/>
    </row>
    <row r="733">
      <c r="M733" s="63"/>
    </row>
    <row r="734">
      <c r="M734" s="63"/>
    </row>
    <row r="735">
      <c r="M735" s="63"/>
    </row>
    <row r="736">
      <c r="M736" s="63"/>
    </row>
    <row r="737">
      <c r="M737" s="63"/>
    </row>
    <row r="738">
      <c r="M738" s="63"/>
    </row>
    <row r="739">
      <c r="M739" s="63"/>
    </row>
    <row r="740">
      <c r="M740" s="63"/>
    </row>
    <row r="741">
      <c r="M741" s="63"/>
    </row>
    <row r="742">
      <c r="M742" s="63"/>
    </row>
    <row r="743">
      <c r="M743" s="63"/>
    </row>
    <row r="744">
      <c r="M744" s="63"/>
    </row>
    <row r="745">
      <c r="M745" s="63"/>
    </row>
    <row r="746">
      <c r="M746" s="63"/>
    </row>
    <row r="747">
      <c r="M747" s="63"/>
    </row>
    <row r="748">
      <c r="M748" s="63"/>
    </row>
    <row r="749">
      <c r="M749" s="63"/>
    </row>
    <row r="750">
      <c r="M750" s="63"/>
    </row>
    <row r="751">
      <c r="M751" s="63"/>
    </row>
    <row r="752">
      <c r="M752" s="63"/>
    </row>
    <row r="753">
      <c r="M753" s="63"/>
    </row>
    <row r="754">
      <c r="M754" s="63"/>
    </row>
    <row r="755">
      <c r="M755" s="63"/>
    </row>
    <row r="756">
      <c r="M756" s="63"/>
    </row>
    <row r="757">
      <c r="M757" s="63"/>
    </row>
    <row r="758">
      <c r="M758" s="63"/>
    </row>
    <row r="759">
      <c r="M759" s="63"/>
    </row>
    <row r="760">
      <c r="M760" s="63"/>
    </row>
    <row r="761">
      <c r="M761" s="63"/>
    </row>
    <row r="762">
      <c r="M762" s="63"/>
    </row>
    <row r="763">
      <c r="M763" s="63"/>
    </row>
    <row r="764">
      <c r="M764" s="63"/>
    </row>
    <row r="765">
      <c r="M765" s="63"/>
    </row>
    <row r="766">
      <c r="M766" s="63"/>
    </row>
    <row r="767">
      <c r="M767" s="63"/>
    </row>
    <row r="768">
      <c r="M768" s="63"/>
    </row>
    <row r="769">
      <c r="M769" s="63"/>
    </row>
    <row r="770">
      <c r="M770" s="63"/>
    </row>
    <row r="771">
      <c r="M771" s="63"/>
    </row>
    <row r="772">
      <c r="M772" s="63"/>
    </row>
    <row r="773">
      <c r="M773" s="63"/>
    </row>
    <row r="774">
      <c r="M774" s="63"/>
    </row>
    <row r="775">
      <c r="M775" s="63"/>
    </row>
    <row r="776">
      <c r="M776" s="63"/>
    </row>
    <row r="777">
      <c r="M777" s="63"/>
    </row>
    <row r="778">
      <c r="M778" s="63"/>
    </row>
    <row r="779">
      <c r="M779" s="63"/>
    </row>
    <row r="780">
      <c r="M780" s="63"/>
    </row>
    <row r="781">
      <c r="M781" s="63"/>
    </row>
    <row r="782">
      <c r="M782" s="63"/>
    </row>
    <row r="783">
      <c r="M783" s="63"/>
    </row>
    <row r="784">
      <c r="M784" s="63"/>
    </row>
    <row r="785">
      <c r="M785" s="63"/>
    </row>
    <row r="786">
      <c r="M786" s="63"/>
    </row>
    <row r="787">
      <c r="M787" s="63"/>
    </row>
    <row r="788">
      <c r="M788" s="63"/>
    </row>
    <row r="789">
      <c r="M789" s="63"/>
    </row>
    <row r="790">
      <c r="M790" s="63"/>
    </row>
    <row r="791">
      <c r="M791" s="63"/>
    </row>
    <row r="792">
      <c r="M792" s="63"/>
    </row>
    <row r="793">
      <c r="M793" s="63"/>
    </row>
    <row r="794">
      <c r="M794" s="63"/>
    </row>
    <row r="795">
      <c r="M795" s="63"/>
    </row>
    <row r="796">
      <c r="M796" s="63"/>
    </row>
    <row r="797">
      <c r="M797" s="63"/>
    </row>
    <row r="798">
      <c r="M798" s="63"/>
    </row>
    <row r="799">
      <c r="M799" s="63"/>
    </row>
    <row r="800">
      <c r="M800" s="63"/>
    </row>
    <row r="801">
      <c r="M801" s="63"/>
    </row>
    <row r="802">
      <c r="M802" s="63"/>
    </row>
    <row r="803">
      <c r="M803" s="63"/>
    </row>
    <row r="804">
      <c r="M804" s="63"/>
    </row>
    <row r="805">
      <c r="M805" s="63"/>
    </row>
    <row r="806">
      <c r="M806" s="63"/>
    </row>
    <row r="807">
      <c r="M807" s="63"/>
    </row>
    <row r="808">
      <c r="M808" s="63"/>
    </row>
    <row r="809">
      <c r="M809" s="63"/>
    </row>
    <row r="810">
      <c r="M810" s="63"/>
    </row>
    <row r="811">
      <c r="M811" s="63"/>
    </row>
    <row r="812">
      <c r="M812" s="63"/>
    </row>
    <row r="813">
      <c r="M813" s="63"/>
    </row>
    <row r="814">
      <c r="M814" s="63"/>
    </row>
    <row r="815">
      <c r="M815" s="63"/>
    </row>
    <row r="816">
      <c r="M816" s="63"/>
    </row>
    <row r="817">
      <c r="M817" s="63"/>
    </row>
    <row r="818">
      <c r="M818" s="63"/>
    </row>
    <row r="819">
      <c r="M819" s="63"/>
    </row>
    <row r="820">
      <c r="M820" s="63"/>
    </row>
    <row r="821">
      <c r="M821" s="63"/>
    </row>
    <row r="822">
      <c r="M822" s="63"/>
    </row>
    <row r="823">
      <c r="M823" s="63"/>
    </row>
    <row r="824">
      <c r="M824" s="63"/>
    </row>
    <row r="825">
      <c r="M825" s="63"/>
    </row>
    <row r="826">
      <c r="M826" s="63"/>
    </row>
    <row r="827">
      <c r="M827" s="63"/>
    </row>
    <row r="828">
      <c r="M828" s="63"/>
    </row>
    <row r="829">
      <c r="M829" s="63"/>
    </row>
    <row r="830">
      <c r="M830" s="63"/>
    </row>
    <row r="831">
      <c r="M831" s="63"/>
    </row>
    <row r="832">
      <c r="M832" s="63"/>
    </row>
    <row r="833">
      <c r="M833" s="63"/>
    </row>
    <row r="834">
      <c r="M834" s="63"/>
    </row>
    <row r="835">
      <c r="M835" s="63"/>
    </row>
    <row r="836">
      <c r="M836" s="63"/>
    </row>
    <row r="837">
      <c r="M837" s="63"/>
    </row>
    <row r="838">
      <c r="M838" s="63"/>
    </row>
    <row r="839">
      <c r="M839" s="63"/>
    </row>
    <row r="840">
      <c r="M840" s="63"/>
    </row>
    <row r="841">
      <c r="M841" s="63"/>
    </row>
    <row r="842">
      <c r="M842" s="63"/>
    </row>
    <row r="843">
      <c r="M843" s="63"/>
    </row>
    <row r="844">
      <c r="M844" s="63"/>
    </row>
    <row r="845">
      <c r="M845" s="63"/>
    </row>
    <row r="846">
      <c r="M846" s="63"/>
    </row>
    <row r="847">
      <c r="M847" s="63"/>
    </row>
    <row r="848">
      <c r="M848" s="63"/>
    </row>
    <row r="849">
      <c r="M849" s="63"/>
    </row>
    <row r="850">
      <c r="M850" s="63"/>
    </row>
    <row r="851">
      <c r="M851" s="63"/>
    </row>
    <row r="852">
      <c r="M852" s="63"/>
    </row>
    <row r="853">
      <c r="M853" s="63"/>
    </row>
    <row r="854">
      <c r="M854" s="63"/>
    </row>
    <row r="855">
      <c r="M855" s="63"/>
    </row>
    <row r="856">
      <c r="M856" s="63"/>
    </row>
    <row r="857">
      <c r="M857" s="63"/>
    </row>
    <row r="858">
      <c r="M858" s="63"/>
    </row>
    <row r="859">
      <c r="M859" s="63"/>
    </row>
    <row r="860">
      <c r="M860" s="63"/>
    </row>
    <row r="861">
      <c r="M861" s="63"/>
    </row>
    <row r="862">
      <c r="M862" s="63"/>
    </row>
    <row r="863">
      <c r="M863" s="63"/>
    </row>
    <row r="864">
      <c r="M864" s="63"/>
    </row>
    <row r="865">
      <c r="M865" s="63"/>
    </row>
    <row r="866">
      <c r="M866" s="63"/>
    </row>
    <row r="867">
      <c r="M867" s="63"/>
    </row>
    <row r="868">
      <c r="M868" s="63"/>
    </row>
    <row r="869">
      <c r="M869" s="63"/>
    </row>
    <row r="870">
      <c r="M870" s="63"/>
    </row>
    <row r="871">
      <c r="M871" s="63"/>
    </row>
    <row r="872">
      <c r="M872" s="63"/>
    </row>
    <row r="873">
      <c r="M873" s="63"/>
    </row>
    <row r="874">
      <c r="M874" s="63"/>
    </row>
    <row r="875">
      <c r="M875" s="63"/>
    </row>
    <row r="876">
      <c r="M876" s="63"/>
    </row>
    <row r="877">
      <c r="M877" s="63"/>
    </row>
    <row r="878">
      <c r="M878" s="63"/>
    </row>
    <row r="879">
      <c r="M879" s="63"/>
    </row>
    <row r="880">
      <c r="M880" s="63"/>
    </row>
    <row r="881">
      <c r="M881" s="63"/>
    </row>
    <row r="882">
      <c r="M882" s="63"/>
    </row>
    <row r="883">
      <c r="M883" s="63"/>
    </row>
    <row r="884">
      <c r="M884" s="63"/>
    </row>
    <row r="885">
      <c r="M885" s="63"/>
    </row>
    <row r="886">
      <c r="M886" s="63"/>
    </row>
    <row r="887">
      <c r="M887" s="63"/>
    </row>
    <row r="888">
      <c r="M888" s="63"/>
    </row>
    <row r="889">
      <c r="M889" s="63"/>
    </row>
    <row r="890">
      <c r="M890" s="63"/>
    </row>
    <row r="891">
      <c r="M891" s="63"/>
    </row>
    <row r="892">
      <c r="M892" s="63"/>
    </row>
    <row r="893">
      <c r="M893" s="63"/>
    </row>
    <row r="894">
      <c r="M894" s="63"/>
    </row>
    <row r="895">
      <c r="M895" s="63"/>
    </row>
    <row r="896">
      <c r="M896" s="63"/>
    </row>
    <row r="897">
      <c r="M897" s="63"/>
    </row>
    <row r="898">
      <c r="M898" s="63"/>
    </row>
    <row r="899">
      <c r="M899" s="63"/>
    </row>
    <row r="900">
      <c r="M900" s="63"/>
    </row>
    <row r="901">
      <c r="M901" s="63"/>
    </row>
    <row r="902">
      <c r="M902" s="63"/>
    </row>
    <row r="903">
      <c r="M903" s="63"/>
    </row>
    <row r="904">
      <c r="M904" s="63"/>
    </row>
    <row r="905">
      <c r="M905" s="63"/>
    </row>
    <row r="906">
      <c r="M906" s="63"/>
    </row>
    <row r="907">
      <c r="M907" s="63"/>
    </row>
    <row r="908">
      <c r="M908" s="63"/>
    </row>
    <row r="909">
      <c r="M909" s="63"/>
    </row>
    <row r="910">
      <c r="M910" s="63"/>
    </row>
    <row r="911">
      <c r="M911" s="63"/>
    </row>
    <row r="912">
      <c r="M912" s="63"/>
    </row>
    <row r="913">
      <c r="M913" s="63"/>
    </row>
    <row r="914">
      <c r="M914" s="63"/>
    </row>
    <row r="915">
      <c r="M915" s="63"/>
    </row>
    <row r="916">
      <c r="M916" s="63"/>
    </row>
    <row r="917">
      <c r="M917" s="63"/>
    </row>
    <row r="918">
      <c r="M918" s="63"/>
    </row>
    <row r="919">
      <c r="M919" s="63"/>
    </row>
    <row r="920">
      <c r="M920" s="63"/>
    </row>
    <row r="921">
      <c r="M921" s="63"/>
    </row>
    <row r="922">
      <c r="M922" s="63"/>
    </row>
    <row r="923">
      <c r="M923" s="63"/>
    </row>
    <row r="924">
      <c r="M924" s="63"/>
    </row>
    <row r="925">
      <c r="M925" s="63"/>
    </row>
    <row r="926">
      <c r="M926" s="63"/>
    </row>
    <row r="927">
      <c r="M927" s="63"/>
    </row>
    <row r="928">
      <c r="M928" s="63"/>
    </row>
    <row r="929">
      <c r="M929" s="63"/>
    </row>
    <row r="930">
      <c r="M930" s="63"/>
    </row>
    <row r="931">
      <c r="M931" s="63"/>
    </row>
    <row r="932">
      <c r="M932" s="63"/>
    </row>
    <row r="933">
      <c r="M933" s="63"/>
    </row>
    <row r="934">
      <c r="M934" s="63"/>
    </row>
    <row r="935">
      <c r="M935" s="63"/>
    </row>
    <row r="936">
      <c r="M936" s="63"/>
    </row>
    <row r="937">
      <c r="M937" s="63"/>
    </row>
    <row r="938">
      <c r="M938" s="63"/>
    </row>
    <row r="939">
      <c r="M939" s="63"/>
    </row>
    <row r="940">
      <c r="M940" s="63"/>
    </row>
    <row r="941">
      <c r="M941" s="63"/>
    </row>
    <row r="942">
      <c r="M942" s="63"/>
    </row>
    <row r="943">
      <c r="M943" s="63"/>
    </row>
    <row r="944">
      <c r="M944" s="63"/>
    </row>
    <row r="945">
      <c r="M945" s="63"/>
    </row>
    <row r="946">
      <c r="M946" s="63"/>
    </row>
    <row r="947">
      <c r="M947" s="63"/>
    </row>
    <row r="948">
      <c r="M948" s="63"/>
    </row>
    <row r="949">
      <c r="M949" s="63"/>
    </row>
    <row r="950">
      <c r="M950" s="63"/>
    </row>
    <row r="951">
      <c r="M951" s="63"/>
    </row>
    <row r="952">
      <c r="M952" s="63"/>
    </row>
    <row r="953">
      <c r="M953" s="63"/>
    </row>
    <row r="954">
      <c r="M954" s="63"/>
    </row>
    <row r="955">
      <c r="M955" s="63"/>
    </row>
    <row r="956">
      <c r="M956" s="63"/>
    </row>
    <row r="957">
      <c r="M957" s="63"/>
    </row>
    <row r="958">
      <c r="M958" s="63"/>
    </row>
    <row r="959">
      <c r="M959" s="63"/>
    </row>
    <row r="960">
      <c r="M960" s="63"/>
    </row>
    <row r="961">
      <c r="M961" s="63"/>
    </row>
    <row r="962">
      <c r="M962" s="63"/>
    </row>
    <row r="963">
      <c r="M963" s="63"/>
    </row>
    <row r="964">
      <c r="M964" s="63"/>
    </row>
    <row r="965">
      <c r="M965" s="63"/>
    </row>
    <row r="966">
      <c r="M966" s="63"/>
    </row>
    <row r="967">
      <c r="M967" s="63"/>
    </row>
    <row r="968">
      <c r="M968" s="63"/>
    </row>
    <row r="969">
      <c r="M969" s="63"/>
    </row>
    <row r="970">
      <c r="M970" s="63"/>
    </row>
    <row r="971">
      <c r="M971" s="63"/>
    </row>
    <row r="972">
      <c r="M972" s="63"/>
    </row>
    <row r="973">
      <c r="M973" s="63"/>
    </row>
    <row r="974">
      <c r="M974" s="63"/>
    </row>
    <row r="975">
      <c r="M975" s="63"/>
    </row>
    <row r="976">
      <c r="M976" s="63"/>
    </row>
    <row r="977">
      <c r="M977" s="63"/>
    </row>
    <row r="978">
      <c r="M978" s="63"/>
    </row>
    <row r="979">
      <c r="M979" s="63"/>
    </row>
    <row r="980">
      <c r="M980" s="63"/>
    </row>
    <row r="981">
      <c r="M981" s="63"/>
    </row>
    <row r="982">
      <c r="M982" s="63"/>
    </row>
    <row r="983">
      <c r="M983" s="63"/>
    </row>
    <row r="984">
      <c r="M984" s="63"/>
    </row>
    <row r="985">
      <c r="M985" s="63"/>
    </row>
    <row r="986">
      <c r="M986" s="63"/>
    </row>
    <row r="987">
      <c r="M987" s="63"/>
    </row>
    <row r="988">
      <c r="M988" s="63"/>
    </row>
    <row r="989">
      <c r="M989" s="63"/>
    </row>
    <row r="990">
      <c r="M990" s="63"/>
    </row>
    <row r="991">
      <c r="M991" s="63"/>
    </row>
    <row r="992">
      <c r="M992" s="63"/>
    </row>
    <row r="993">
      <c r="M993" s="63"/>
    </row>
    <row r="994">
      <c r="M994" s="63"/>
    </row>
    <row r="995">
      <c r="M995" s="63"/>
    </row>
    <row r="996">
      <c r="M996" s="63"/>
    </row>
    <row r="997">
      <c r="M997" s="63"/>
    </row>
    <row r="998">
      <c r="M998" s="63"/>
    </row>
    <row r="999">
      <c r="M999" s="63"/>
    </row>
    <row r="1000">
      <c r="M1000" s="63"/>
    </row>
  </sheetData>
  <conditionalFormatting sqref="L1:L1000">
    <cfRule type="cellIs" dxfId="1" priority="1" operator="greaterThan">
      <formula>0</formula>
    </cfRule>
  </conditionalFormatting>
  <conditionalFormatting sqref="L1:L1000">
    <cfRule type="cellIs" dxfId="2" priority="2" operator="lessThan">
      <formula>0</formula>
    </cfRule>
  </conditionalFormatting>
  <conditionalFormatting sqref="M1:M1000">
    <cfRule type="containsText" dxfId="1" priority="3" operator="containsText" text="紅">
      <formula>NOT(ISERROR(SEARCH(("紅"),(M1))))</formula>
    </cfRule>
  </conditionalFormatting>
  <conditionalFormatting sqref="M1:M1000">
    <cfRule type="containsText" dxfId="2" priority="4" operator="containsText" text="黑">
      <formula>NOT(ISERROR(SEARCH(("黑"),(M1))))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</cols>
  <sheetData>
    <row r="1">
      <c r="A1" s="64" t="s">
        <v>56</v>
      </c>
      <c r="F1" s="65"/>
      <c r="G1" s="66"/>
      <c r="H1" s="67"/>
      <c r="I1" s="66" t="s">
        <v>57</v>
      </c>
    </row>
    <row r="2">
      <c r="F2" s="65"/>
      <c r="G2" s="31"/>
      <c r="H2" s="68"/>
      <c r="I2" s="31"/>
      <c r="J2" s="69"/>
    </row>
    <row r="3">
      <c r="A3" s="16" t="s">
        <v>58</v>
      </c>
      <c r="C3" s="70" t="s">
        <v>59</v>
      </c>
      <c r="D3" s="48"/>
      <c r="E3" s="16" t="s">
        <v>60</v>
      </c>
      <c r="F3" s="48"/>
      <c r="G3" s="16" t="s">
        <v>61</v>
      </c>
      <c r="H3" s="48"/>
      <c r="O3" s="57"/>
    </row>
    <row r="4" ht="66.0" customHeight="1">
      <c r="A4" s="16" t="str">
        <f>IFERROR(__xludf.DUMMYFUNCTION("SPARKLINE(INDEX(GOOGLEFINANCE(""INDEXDJX:.DJI"",""price"",workday(TODAY(),-90),TODAY()),,2),{""charttype"",""line""})"),"")</f>
        <v/>
      </c>
      <c r="C4" s="71" t="str">
        <f>IFERROR(__xludf.DUMMYFUNCTION("SPARKLINE(INDEX(GOOGLEFINANCE(""INDEXNASDAQ:.IXIC"",""price"",workday(TODAY(),-90),TODAY()),,2),{""charttype"",""line""})"),"")</f>
        <v/>
      </c>
      <c r="D4" s="48"/>
      <c r="E4" s="16" t="str">
        <f>IFERROR(__xludf.DUMMYFUNCTION("SPARKLINE(INDEX(GOOGLEFINANCE(""INDEXSP:.INX"",""price"",workday(TODAY(),-90),TODAY()),,2),{""charttype"",""line""})"),"")</f>
        <v/>
      </c>
      <c r="G4" s="71" t="str">
        <f>IFERROR(__xludf.DUMMYFUNCTION("SPARKLINE(INDEX(GOOGLEFINANCE(""NYSE:TSM"",""price"",workday(TODAY(),-90),TODAY()),,2),{""charttype"",""line""})"),"")</f>
        <v/>
      </c>
      <c r="H4" s="48"/>
      <c r="O4" s="57"/>
    </row>
    <row r="5">
      <c r="A5" s="16" t="s">
        <v>62</v>
      </c>
      <c r="B5" s="31">
        <f>IF(B9 &gt; 0, ROUND((B6 - B7) * 100 / B7, 2), 0)</f>
        <v>7.51</v>
      </c>
      <c r="C5" s="71" t="s">
        <v>62</v>
      </c>
      <c r="D5" s="68">
        <f>IF(D9 &gt; 0, ROUND((D6 - D7) * 100 / D7, 2), 0)</f>
        <v>15.56</v>
      </c>
      <c r="E5" s="71" t="s">
        <v>62</v>
      </c>
      <c r="F5" s="68">
        <f>IF(F9 &gt; 0, ROUND((F6 - F7) * 100 / F7, 2), 0)</f>
        <v>11.33</v>
      </c>
      <c r="G5" s="71" t="s">
        <v>62</v>
      </c>
      <c r="H5" s="68">
        <f>IF(H9 &gt; 0, ROUND((H6 - H7) * 100 / H7, 2), 0)</f>
        <v>33.5</v>
      </c>
      <c r="O5" s="57"/>
    </row>
    <row r="6">
      <c r="A6" s="16" t="s">
        <v>63</v>
      </c>
      <c r="B6" s="68">
        <f>IFERROR(__xludf.DUMMYFUNCTION("GOOGLEFINANCE(""INDEXDJX:.DJI"")"),49526.17)</f>
        <v>49526.17</v>
      </c>
      <c r="C6" s="16" t="s">
        <v>63</v>
      </c>
      <c r="D6" s="68">
        <f>IFERROR(__xludf.DUMMYFUNCTION("GOOGLEFINANCE(""INDEXNASDAQ:.IXIC"")"),26225.15)</f>
        <v>26225.15</v>
      </c>
      <c r="E6" s="16" t="s">
        <v>63</v>
      </c>
      <c r="F6" s="68">
        <f>IFERROR(__xludf.DUMMYFUNCTION("GOOGLEFINANCE(""INDEXSP:.INX"")"),7408.5)</f>
        <v>7408.5</v>
      </c>
      <c r="G6" s="16" t="s">
        <v>63</v>
      </c>
      <c r="H6" s="68">
        <f>IFERROR(__xludf.DUMMYFUNCTION("GOOGLEFINANCE(""NYSE:TSM"")"),404.35)</f>
        <v>404.35</v>
      </c>
    </row>
    <row r="7">
      <c r="A7" s="16" t="s">
        <v>64</v>
      </c>
      <c r="B7" s="68">
        <f t="array" ref="B7">INDIRECT(CONCATENATE("B", match(INDIRECT(CONCATENATE("'DATA'!B", COUNT(DATA!B2:B1007)+1)), A9:A52)+8))</f>
        <v>46067.58</v>
      </c>
      <c r="C7" s="16" t="s">
        <v>64</v>
      </c>
      <c r="D7" s="68">
        <f t="array" ref="D7">INDIRECT(CONCATENATE("D", match(INDIRECT(CONCATENATE("'DATA'!B", COUNT(DATA!B2:B1007)+1)), A9:A52)+8))</f>
        <v>22694.61</v>
      </c>
      <c r="E7" s="16" t="s">
        <v>64</v>
      </c>
      <c r="F7" s="68">
        <f t="array" ref="F7">INDIRECT(CONCATENATE("F", match(INDIRECT(CONCATENATE("'DATA'!B", COUNT(DATA!D2:D1007)+1)), C9:C52)+8))</f>
        <v>6654.72</v>
      </c>
      <c r="G7" s="16" t="s">
        <v>64</v>
      </c>
      <c r="H7" s="68">
        <f t="array" ref="H7">INDIRECT(CONCATENATE("H", match(INDIRECT(CONCATENATE("'DATA'!B", COUNT(DATA!F2:F1007)+1)), E9:E52)+8))</f>
        <v>302.89</v>
      </c>
      <c r="O7" s="57"/>
    </row>
    <row r="8">
      <c r="A8" s="72" t="str">
        <f>IFERROR(__xludf.DUMMYFUNCTION("GOOGLEFINANCE(""INDEXDJX:.DJI"", ""price"", INDIRECT(CONCATENATE(""'DATA'!B"", COUNT(DATA!B2:B1007)-20)), TODAY())"),"Date")</f>
        <v>Date</v>
      </c>
      <c r="B8" s="58" t="str">
        <f>IFERROR(__xludf.DUMMYFUNCTION("""COMPUTED_VALUE"""),"Close")</f>
        <v>Close</v>
      </c>
      <c r="C8" s="73" t="str">
        <f>IFERROR(__xludf.DUMMYFUNCTION("GOOGLEFINANCE(""INDEXNASDAQ:.IXIC"", ""price"", INDIRECT(CONCATENATE(""'DATA'!B"", COUNT(DATA!B2:B1007)-20)), TODAY())"),"Date")</f>
        <v>Date</v>
      </c>
      <c r="D8" s="50" t="str">
        <f>IFERROR(__xludf.DUMMYFUNCTION("""COMPUTED_VALUE"""),"Close")</f>
        <v>Close</v>
      </c>
      <c r="E8" s="73" t="str">
        <f>IFERROR(__xludf.DUMMYFUNCTION("GOOGLEFINANCE(""INDEXSP:.INX"", ""price"", INDIRECT(CONCATENATE(""'DATA'!B"", COUNT(DATA!D2:D1007)-20)), TODAY())"),"Date")</f>
        <v>Date</v>
      </c>
      <c r="F8" s="50" t="str">
        <f>IFERROR(__xludf.DUMMYFUNCTION("""COMPUTED_VALUE"""),"Close")</f>
        <v>Close</v>
      </c>
      <c r="G8" s="73" t="str">
        <f>IFERROR(__xludf.DUMMYFUNCTION("GOOGLEFINANCE(""NYSE:TSM"", ""price"", INDIRECT(CONCATENATE(""'DATA'!B"", COUNT(DATA!F2:F1007)-20)), TODAY())"),"Date")</f>
        <v>Date</v>
      </c>
      <c r="H8" s="50" t="str">
        <f>IFERROR(__xludf.DUMMYFUNCTION("""COMPUTED_VALUE"""),"Close")</f>
        <v>Close</v>
      </c>
      <c r="O8" s="57"/>
    </row>
    <row r="9">
      <c r="A9" s="74">
        <f>IFERROR(__xludf.DUMMYFUNCTION("""COMPUTED_VALUE"""),45910.66666666667)</f>
        <v>45910.66667</v>
      </c>
      <c r="B9" s="58">
        <f>IFERROR(__xludf.DUMMYFUNCTION("""COMPUTED_VALUE"""),45490.92)</f>
        <v>45490.92</v>
      </c>
      <c r="C9" s="75">
        <f>IFERROR(__xludf.DUMMYFUNCTION("""COMPUTED_VALUE"""),45910.66666666667)</f>
        <v>45910.66667</v>
      </c>
      <c r="D9" s="50">
        <f>IFERROR(__xludf.DUMMYFUNCTION("""COMPUTED_VALUE"""),21886.06)</f>
        <v>21886.06</v>
      </c>
      <c r="E9" s="72">
        <f>IFERROR(__xludf.DUMMYFUNCTION("""COMPUTED_VALUE"""),45910.66666666667)</f>
        <v>45910.66667</v>
      </c>
      <c r="F9" s="50">
        <f>IFERROR(__xludf.DUMMYFUNCTION("""COMPUTED_VALUE"""),6532.04)</f>
        <v>6532.04</v>
      </c>
      <c r="G9" s="72">
        <f>IFERROR(__xludf.DUMMYFUNCTION("""COMPUTED_VALUE"""),45910.66666666667)</f>
        <v>45910.66667</v>
      </c>
      <c r="H9" s="50">
        <f>IFERROR(__xludf.DUMMYFUNCTION("""COMPUTED_VALUE"""),260.44)</f>
        <v>260.44</v>
      </c>
      <c r="O9" s="57"/>
    </row>
    <row r="10">
      <c r="A10" s="74">
        <f>IFERROR(__xludf.DUMMYFUNCTION("""COMPUTED_VALUE"""),45911.66666666667)</f>
        <v>45911.66667</v>
      </c>
      <c r="B10" s="58">
        <f>IFERROR(__xludf.DUMMYFUNCTION("""COMPUTED_VALUE"""),46108.0)</f>
        <v>46108</v>
      </c>
      <c r="C10" s="75">
        <f>IFERROR(__xludf.DUMMYFUNCTION("""COMPUTED_VALUE"""),45911.66666666667)</f>
        <v>45911.66667</v>
      </c>
      <c r="D10" s="50">
        <f>IFERROR(__xludf.DUMMYFUNCTION("""COMPUTED_VALUE"""),22043.08)</f>
        <v>22043.08</v>
      </c>
      <c r="E10" s="72">
        <f>IFERROR(__xludf.DUMMYFUNCTION("""COMPUTED_VALUE"""),45911.66666666667)</f>
        <v>45911.66667</v>
      </c>
      <c r="F10" s="50">
        <f>IFERROR(__xludf.DUMMYFUNCTION("""COMPUTED_VALUE"""),6587.47)</f>
        <v>6587.47</v>
      </c>
      <c r="G10" s="72">
        <f>IFERROR(__xludf.DUMMYFUNCTION("""COMPUTED_VALUE"""),45911.66666666667)</f>
        <v>45911.66667</v>
      </c>
      <c r="H10" s="50">
        <f>IFERROR(__xludf.DUMMYFUNCTION("""COMPUTED_VALUE"""),258.91)</f>
        <v>258.91</v>
      </c>
      <c r="I10" s="16"/>
      <c r="O10" s="57"/>
    </row>
    <row r="11">
      <c r="A11" s="74">
        <f>IFERROR(__xludf.DUMMYFUNCTION("""COMPUTED_VALUE"""),45912.66666666667)</f>
        <v>45912.66667</v>
      </c>
      <c r="B11" s="58">
        <f>IFERROR(__xludf.DUMMYFUNCTION("""COMPUTED_VALUE"""),45834.22)</f>
        <v>45834.22</v>
      </c>
      <c r="C11" s="75">
        <f>IFERROR(__xludf.DUMMYFUNCTION("""COMPUTED_VALUE"""),45912.66666666667)</f>
        <v>45912.66667</v>
      </c>
      <c r="D11" s="50">
        <f>IFERROR(__xludf.DUMMYFUNCTION("""COMPUTED_VALUE"""),22141.1)</f>
        <v>22141.1</v>
      </c>
      <c r="E11" s="72">
        <f>IFERROR(__xludf.DUMMYFUNCTION("""COMPUTED_VALUE"""),45912.66666666667)</f>
        <v>45912.66667</v>
      </c>
      <c r="F11" s="50">
        <f>IFERROR(__xludf.DUMMYFUNCTION("""COMPUTED_VALUE"""),6584.29)</f>
        <v>6584.29</v>
      </c>
      <c r="G11" s="72">
        <f>IFERROR(__xludf.DUMMYFUNCTION("""COMPUTED_VALUE"""),45912.66666666667)</f>
        <v>45912.66667</v>
      </c>
      <c r="H11" s="50">
        <f>IFERROR(__xludf.DUMMYFUNCTION("""COMPUTED_VALUE"""),259.33)</f>
        <v>259.33</v>
      </c>
      <c r="O11" s="16"/>
    </row>
    <row r="12">
      <c r="A12" s="74">
        <f>IFERROR(__xludf.DUMMYFUNCTION("""COMPUTED_VALUE"""),45915.66666666667)</f>
        <v>45915.66667</v>
      </c>
      <c r="B12" s="58">
        <f>IFERROR(__xludf.DUMMYFUNCTION("""COMPUTED_VALUE"""),45883.45)</f>
        <v>45883.45</v>
      </c>
      <c r="C12" s="75">
        <f>IFERROR(__xludf.DUMMYFUNCTION("""COMPUTED_VALUE"""),45915.66666666667)</f>
        <v>45915.66667</v>
      </c>
      <c r="D12" s="50">
        <f>IFERROR(__xludf.DUMMYFUNCTION("""COMPUTED_VALUE"""),22348.75)</f>
        <v>22348.75</v>
      </c>
      <c r="E12" s="72">
        <f>IFERROR(__xludf.DUMMYFUNCTION("""COMPUTED_VALUE"""),45915.66666666667)</f>
        <v>45915.66667</v>
      </c>
      <c r="F12" s="50">
        <f>IFERROR(__xludf.DUMMYFUNCTION("""COMPUTED_VALUE"""),6615.28)</f>
        <v>6615.28</v>
      </c>
      <c r="G12" s="72">
        <f>IFERROR(__xludf.DUMMYFUNCTION("""COMPUTED_VALUE"""),45915.66666666667)</f>
        <v>45915.66667</v>
      </c>
      <c r="H12" s="50">
        <f>IFERROR(__xludf.DUMMYFUNCTION("""COMPUTED_VALUE"""),261.38)</f>
        <v>261.38</v>
      </c>
    </row>
    <row r="13">
      <c r="A13" s="74">
        <f>IFERROR(__xludf.DUMMYFUNCTION("""COMPUTED_VALUE"""),45916.66666666667)</f>
        <v>45916.66667</v>
      </c>
      <c r="B13" s="58">
        <f>IFERROR(__xludf.DUMMYFUNCTION("""COMPUTED_VALUE"""),45757.9)</f>
        <v>45757.9</v>
      </c>
      <c r="C13" s="75">
        <f>IFERROR(__xludf.DUMMYFUNCTION("""COMPUTED_VALUE"""),45916.66666666667)</f>
        <v>45916.66667</v>
      </c>
      <c r="D13" s="50">
        <f>IFERROR(__xludf.DUMMYFUNCTION("""COMPUTED_VALUE"""),22333.96)</f>
        <v>22333.96</v>
      </c>
      <c r="E13" s="72">
        <f>IFERROR(__xludf.DUMMYFUNCTION("""COMPUTED_VALUE"""),45916.66666666667)</f>
        <v>45916.66667</v>
      </c>
      <c r="F13" s="50">
        <f>IFERROR(__xludf.DUMMYFUNCTION("""COMPUTED_VALUE"""),6606.76)</f>
        <v>6606.76</v>
      </c>
      <c r="G13" s="72">
        <f>IFERROR(__xludf.DUMMYFUNCTION("""COMPUTED_VALUE"""),45916.66666666667)</f>
        <v>45916.66667</v>
      </c>
      <c r="H13" s="50">
        <f>IFERROR(__xludf.DUMMYFUNCTION("""COMPUTED_VALUE"""),262.06)</f>
        <v>262.06</v>
      </c>
      <c r="I13" s="31"/>
      <c r="J13" s="69"/>
    </row>
    <row r="14">
      <c r="A14" s="74">
        <f>IFERROR(__xludf.DUMMYFUNCTION("""COMPUTED_VALUE"""),45917.66666666667)</f>
        <v>45917.66667</v>
      </c>
      <c r="B14" s="58">
        <f>IFERROR(__xludf.DUMMYFUNCTION("""COMPUTED_VALUE"""),46018.32)</f>
        <v>46018.32</v>
      </c>
      <c r="C14" s="75">
        <f>IFERROR(__xludf.DUMMYFUNCTION("""COMPUTED_VALUE"""),45917.66666666667)</f>
        <v>45917.66667</v>
      </c>
      <c r="D14" s="50">
        <f>IFERROR(__xludf.DUMMYFUNCTION("""COMPUTED_VALUE"""),22261.33)</f>
        <v>22261.33</v>
      </c>
      <c r="E14" s="72">
        <f>IFERROR(__xludf.DUMMYFUNCTION("""COMPUTED_VALUE"""),45917.66666666667)</f>
        <v>45917.66667</v>
      </c>
      <c r="F14" s="50">
        <f>IFERROR(__xludf.DUMMYFUNCTION("""COMPUTED_VALUE"""),6600.35)</f>
        <v>6600.35</v>
      </c>
      <c r="G14" s="72">
        <f>IFERROR(__xludf.DUMMYFUNCTION("""COMPUTED_VALUE"""),45917.66666666667)</f>
        <v>45917.66667</v>
      </c>
      <c r="H14" s="50">
        <f>IFERROR(__xludf.DUMMYFUNCTION("""COMPUTED_VALUE"""),262.79)</f>
        <v>262.79</v>
      </c>
      <c r="I14" s="57"/>
    </row>
    <row r="15">
      <c r="A15" s="74">
        <f>IFERROR(__xludf.DUMMYFUNCTION("""COMPUTED_VALUE"""),45918.66666666667)</f>
        <v>45918.66667</v>
      </c>
      <c r="B15" s="58">
        <f>IFERROR(__xludf.DUMMYFUNCTION("""COMPUTED_VALUE"""),46142.42)</f>
        <v>46142.42</v>
      </c>
      <c r="C15" s="75">
        <f>IFERROR(__xludf.DUMMYFUNCTION("""COMPUTED_VALUE"""),45918.66666666667)</f>
        <v>45918.66667</v>
      </c>
      <c r="D15" s="50">
        <f>IFERROR(__xludf.DUMMYFUNCTION("""COMPUTED_VALUE"""),22470.73)</f>
        <v>22470.73</v>
      </c>
      <c r="E15" s="72">
        <f>IFERROR(__xludf.DUMMYFUNCTION("""COMPUTED_VALUE"""),45918.66666666667)</f>
        <v>45918.66667</v>
      </c>
      <c r="F15" s="50">
        <f>IFERROR(__xludf.DUMMYFUNCTION("""COMPUTED_VALUE"""),6631.96)</f>
        <v>6631.96</v>
      </c>
      <c r="G15" s="72">
        <f>IFERROR(__xludf.DUMMYFUNCTION("""COMPUTED_VALUE"""),45918.66666666667)</f>
        <v>45918.66667</v>
      </c>
      <c r="H15" s="50">
        <f>IFERROR(__xludf.DUMMYFUNCTION("""COMPUTED_VALUE"""),268.64)</f>
        <v>268.64</v>
      </c>
      <c r="I15" s="57"/>
    </row>
    <row r="16">
      <c r="A16" s="74">
        <f>IFERROR(__xludf.DUMMYFUNCTION("""COMPUTED_VALUE"""),45919.66666666667)</f>
        <v>45919.66667</v>
      </c>
      <c r="B16" s="58">
        <f>IFERROR(__xludf.DUMMYFUNCTION("""COMPUTED_VALUE"""),46315.27)</f>
        <v>46315.27</v>
      </c>
      <c r="C16" s="75">
        <f>IFERROR(__xludf.DUMMYFUNCTION("""COMPUTED_VALUE"""),45919.66666666667)</f>
        <v>45919.66667</v>
      </c>
      <c r="D16" s="50">
        <f>IFERROR(__xludf.DUMMYFUNCTION("""COMPUTED_VALUE"""),22631.48)</f>
        <v>22631.48</v>
      </c>
      <c r="E16" s="72">
        <f>IFERROR(__xludf.DUMMYFUNCTION("""COMPUTED_VALUE"""),45919.66666666667)</f>
        <v>45919.66667</v>
      </c>
      <c r="F16" s="50">
        <f>IFERROR(__xludf.DUMMYFUNCTION("""COMPUTED_VALUE"""),6664.36)</f>
        <v>6664.36</v>
      </c>
      <c r="G16" s="72">
        <f>IFERROR(__xludf.DUMMYFUNCTION("""COMPUTED_VALUE"""),45919.66666666667)</f>
        <v>45919.66667</v>
      </c>
      <c r="H16" s="50">
        <f>IFERROR(__xludf.DUMMYFUNCTION("""COMPUTED_VALUE"""),264.87)</f>
        <v>264.87</v>
      </c>
    </row>
    <row r="17">
      <c r="A17" s="74">
        <f>IFERROR(__xludf.DUMMYFUNCTION("""COMPUTED_VALUE"""),45922.66666666667)</f>
        <v>45922.66667</v>
      </c>
      <c r="B17" s="58">
        <f>IFERROR(__xludf.DUMMYFUNCTION("""COMPUTED_VALUE"""),46381.54)</f>
        <v>46381.54</v>
      </c>
      <c r="C17" s="75">
        <f>IFERROR(__xludf.DUMMYFUNCTION("""COMPUTED_VALUE"""),45922.66666666667)</f>
        <v>45922.66667</v>
      </c>
      <c r="D17" s="50">
        <f>IFERROR(__xludf.DUMMYFUNCTION("""COMPUTED_VALUE"""),22788.98)</f>
        <v>22788.98</v>
      </c>
      <c r="E17" s="72">
        <f>IFERROR(__xludf.DUMMYFUNCTION("""COMPUTED_VALUE"""),45922.66666666667)</f>
        <v>45922.66667</v>
      </c>
      <c r="F17" s="50">
        <f>IFERROR(__xludf.DUMMYFUNCTION("""COMPUTED_VALUE"""),6693.75)</f>
        <v>6693.75</v>
      </c>
      <c r="G17" s="72">
        <f>IFERROR(__xludf.DUMMYFUNCTION("""COMPUTED_VALUE"""),45922.66666666667)</f>
        <v>45922.66667</v>
      </c>
      <c r="H17" s="50">
        <f>IFERROR(__xludf.DUMMYFUNCTION("""COMPUTED_VALUE"""),272.63)</f>
        <v>272.63</v>
      </c>
    </row>
    <row r="18">
      <c r="A18" s="74">
        <f>IFERROR(__xludf.DUMMYFUNCTION("""COMPUTED_VALUE"""),45923.66666666667)</f>
        <v>45923.66667</v>
      </c>
      <c r="B18" s="58">
        <f>IFERROR(__xludf.DUMMYFUNCTION("""COMPUTED_VALUE"""),46292.78)</f>
        <v>46292.78</v>
      </c>
      <c r="C18" s="75">
        <f>IFERROR(__xludf.DUMMYFUNCTION("""COMPUTED_VALUE"""),45923.66666666667)</f>
        <v>45923.66667</v>
      </c>
      <c r="D18" s="50">
        <f>IFERROR(__xludf.DUMMYFUNCTION("""COMPUTED_VALUE"""),22573.47)</f>
        <v>22573.47</v>
      </c>
      <c r="E18" s="72">
        <f>IFERROR(__xludf.DUMMYFUNCTION("""COMPUTED_VALUE"""),45923.66666666667)</f>
        <v>45923.66667</v>
      </c>
      <c r="F18" s="50">
        <f>IFERROR(__xludf.DUMMYFUNCTION("""COMPUTED_VALUE"""),6656.92)</f>
        <v>6656.92</v>
      </c>
      <c r="G18" s="72">
        <f>IFERROR(__xludf.DUMMYFUNCTION("""COMPUTED_VALUE"""),45923.66666666667)</f>
        <v>45923.66667</v>
      </c>
      <c r="H18" s="50">
        <f>IFERROR(__xludf.DUMMYFUNCTION("""COMPUTED_VALUE"""),282.71)</f>
        <v>282.71</v>
      </c>
      <c r="I18" s="16"/>
    </row>
    <row r="19">
      <c r="A19" s="74">
        <f>IFERROR(__xludf.DUMMYFUNCTION("""COMPUTED_VALUE"""),45924.66666666667)</f>
        <v>45924.66667</v>
      </c>
      <c r="B19" s="58">
        <f>IFERROR(__xludf.DUMMYFUNCTION("""COMPUTED_VALUE"""),46121.28)</f>
        <v>46121.28</v>
      </c>
      <c r="C19" s="75">
        <f>IFERROR(__xludf.DUMMYFUNCTION("""COMPUTED_VALUE"""),45924.66666666667)</f>
        <v>45924.66667</v>
      </c>
      <c r="D19" s="50">
        <f>IFERROR(__xludf.DUMMYFUNCTION("""COMPUTED_VALUE"""),22497.86)</f>
        <v>22497.86</v>
      </c>
      <c r="E19" s="72">
        <f>IFERROR(__xludf.DUMMYFUNCTION("""COMPUTED_VALUE"""),45924.66666666667)</f>
        <v>45924.66667</v>
      </c>
      <c r="F19" s="50">
        <f>IFERROR(__xludf.DUMMYFUNCTION("""COMPUTED_VALUE"""),6637.97)</f>
        <v>6637.97</v>
      </c>
      <c r="G19" s="72">
        <f>IFERROR(__xludf.DUMMYFUNCTION("""COMPUTED_VALUE"""),45924.66666666667)</f>
        <v>45924.66667</v>
      </c>
      <c r="H19" s="50">
        <f>IFERROR(__xludf.DUMMYFUNCTION("""COMPUTED_VALUE"""),280.71)</f>
        <v>280.71</v>
      </c>
    </row>
    <row r="20">
      <c r="A20" s="74">
        <f>IFERROR(__xludf.DUMMYFUNCTION("""COMPUTED_VALUE"""),45925.66666666667)</f>
        <v>45925.66667</v>
      </c>
      <c r="B20" s="58">
        <f>IFERROR(__xludf.DUMMYFUNCTION("""COMPUTED_VALUE"""),45947.32)</f>
        <v>45947.32</v>
      </c>
      <c r="C20" s="75">
        <f>IFERROR(__xludf.DUMMYFUNCTION("""COMPUTED_VALUE"""),45925.66666666667)</f>
        <v>45925.66667</v>
      </c>
      <c r="D20" s="50">
        <f>IFERROR(__xludf.DUMMYFUNCTION("""COMPUTED_VALUE"""),22384.7)</f>
        <v>22384.7</v>
      </c>
      <c r="E20" s="72">
        <f>IFERROR(__xludf.DUMMYFUNCTION("""COMPUTED_VALUE"""),45925.66666666667)</f>
        <v>45925.66667</v>
      </c>
      <c r="F20" s="50">
        <f>IFERROR(__xludf.DUMMYFUNCTION("""COMPUTED_VALUE"""),6604.72)</f>
        <v>6604.72</v>
      </c>
      <c r="G20" s="72">
        <f>IFERROR(__xludf.DUMMYFUNCTION("""COMPUTED_VALUE"""),45925.66666666667)</f>
        <v>45925.66667</v>
      </c>
      <c r="H20" s="50">
        <f>IFERROR(__xludf.DUMMYFUNCTION("""COMPUTED_VALUE"""),276.66)</f>
        <v>276.66</v>
      </c>
    </row>
    <row r="21">
      <c r="A21" s="74">
        <f>IFERROR(__xludf.DUMMYFUNCTION("""COMPUTED_VALUE"""),45926.66666666667)</f>
        <v>45926.66667</v>
      </c>
      <c r="B21" s="58">
        <f>IFERROR(__xludf.DUMMYFUNCTION("""COMPUTED_VALUE"""),46247.29)</f>
        <v>46247.29</v>
      </c>
      <c r="C21" s="75">
        <f>IFERROR(__xludf.DUMMYFUNCTION("""COMPUTED_VALUE"""),45926.66666666667)</f>
        <v>45926.66667</v>
      </c>
      <c r="D21" s="50">
        <f>IFERROR(__xludf.DUMMYFUNCTION("""COMPUTED_VALUE"""),22484.07)</f>
        <v>22484.07</v>
      </c>
      <c r="E21" s="72">
        <f>IFERROR(__xludf.DUMMYFUNCTION("""COMPUTED_VALUE"""),45926.66666666667)</f>
        <v>45926.66667</v>
      </c>
      <c r="F21" s="50">
        <f>IFERROR(__xludf.DUMMYFUNCTION("""COMPUTED_VALUE"""),6643.7)</f>
        <v>6643.7</v>
      </c>
      <c r="G21" s="72">
        <f>IFERROR(__xludf.DUMMYFUNCTION("""COMPUTED_VALUE"""),45926.66666666667)</f>
        <v>45926.66667</v>
      </c>
      <c r="H21" s="50">
        <f>IFERROR(__xludf.DUMMYFUNCTION("""COMPUTED_VALUE"""),273.36)</f>
        <v>273.36</v>
      </c>
      <c r="I21" s="31"/>
      <c r="J21" s="69"/>
    </row>
    <row r="22">
      <c r="A22" s="74">
        <f>IFERROR(__xludf.DUMMYFUNCTION("""COMPUTED_VALUE"""),45929.66666666667)</f>
        <v>45929.66667</v>
      </c>
      <c r="B22" s="58">
        <f>IFERROR(__xludf.DUMMYFUNCTION("""COMPUTED_VALUE"""),46316.07)</f>
        <v>46316.07</v>
      </c>
      <c r="C22" s="75">
        <f>IFERROR(__xludf.DUMMYFUNCTION("""COMPUTED_VALUE"""),45929.66666666667)</f>
        <v>45929.66667</v>
      </c>
      <c r="D22" s="50">
        <f>IFERROR(__xludf.DUMMYFUNCTION("""COMPUTED_VALUE"""),22591.15)</f>
        <v>22591.15</v>
      </c>
      <c r="E22" s="72">
        <f>IFERROR(__xludf.DUMMYFUNCTION("""COMPUTED_VALUE"""),45929.66666666667)</f>
        <v>45929.66667</v>
      </c>
      <c r="F22" s="50">
        <f>IFERROR(__xludf.DUMMYFUNCTION("""COMPUTED_VALUE"""),6661.21)</f>
        <v>6661.21</v>
      </c>
      <c r="G22" s="72">
        <f>IFERROR(__xludf.DUMMYFUNCTION("""COMPUTED_VALUE"""),45929.66666666667)</f>
        <v>45929.66667</v>
      </c>
      <c r="H22" s="50">
        <f>IFERROR(__xludf.DUMMYFUNCTION("""COMPUTED_VALUE"""),273.23)</f>
        <v>273.23</v>
      </c>
      <c r="I22" s="57"/>
    </row>
    <row r="23">
      <c r="A23" s="74">
        <f>IFERROR(__xludf.DUMMYFUNCTION("""COMPUTED_VALUE"""),45930.66666666667)</f>
        <v>45930.66667</v>
      </c>
      <c r="B23" s="58">
        <f>IFERROR(__xludf.DUMMYFUNCTION("""COMPUTED_VALUE"""),46397.89)</f>
        <v>46397.89</v>
      </c>
      <c r="C23" s="75">
        <f>IFERROR(__xludf.DUMMYFUNCTION("""COMPUTED_VALUE"""),45930.66666666667)</f>
        <v>45930.66667</v>
      </c>
      <c r="D23" s="50">
        <f>IFERROR(__xludf.DUMMYFUNCTION("""COMPUTED_VALUE"""),22660.01)</f>
        <v>22660.01</v>
      </c>
      <c r="E23" s="72">
        <f>IFERROR(__xludf.DUMMYFUNCTION("""COMPUTED_VALUE"""),45930.66666666667)</f>
        <v>45930.66667</v>
      </c>
      <c r="F23" s="50">
        <f>IFERROR(__xludf.DUMMYFUNCTION("""COMPUTED_VALUE"""),6688.46)</f>
        <v>6688.46</v>
      </c>
      <c r="G23" s="72">
        <f>IFERROR(__xludf.DUMMYFUNCTION("""COMPUTED_VALUE"""),45930.66666666667)</f>
        <v>45930.66667</v>
      </c>
      <c r="H23" s="50">
        <f>IFERROR(__xludf.DUMMYFUNCTION("""COMPUTED_VALUE"""),279.29)</f>
        <v>279.29</v>
      </c>
      <c r="I23" s="57"/>
    </row>
    <row r="24">
      <c r="A24" s="74">
        <f>IFERROR(__xludf.DUMMYFUNCTION("""COMPUTED_VALUE"""),45931.66666666667)</f>
        <v>45931.66667</v>
      </c>
      <c r="B24" s="58">
        <f>IFERROR(__xludf.DUMMYFUNCTION("""COMPUTED_VALUE"""),46441.1)</f>
        <v>46441.1</v>
      </c>
      <c r="C24" s="75">
        <f>IFERROR(__xludf.DUMMYFUNCTION("""COMPUTED_VALUE"""),45931.66666666667)</f>
        <v>45931.66667</v>
      </c>
      <c r="D24" s="50">
        <f>IFERROR(__xludf.DUMMYFUNCTION("""COMPUTED_VALUE"""),22755.16)</f>
        <v>22755.16</v>
      </c>
      <c r="E24" s="72">
        <f>IFERROR(__xludf.DUMMYFUNCTION("""COMPUTED_VALUE"""),45931.66666666667)</f>
        <v>45931.66667</v>
      </c>
      <c r="F24" s="50">
        <f>IFERROR(__xludf.DUMMYFUNCTION("""COMPUTED_VALUE"""),6711.2)</f>
        <v>6711.2</v>
      </c>
      <c r="G24" s="72">
        <f>IFERROR(__xludf.DUMMYFUNCTION("""COMPUTED_VALUE"""),45931.66666666667)</f>
        <v>45931.66667</v>
      </c>
      <c r="H24" s="50">
        <f>IFERROR(__xludf.DUMMYFUNCTION("""COMPUTED_VALUE"""),288.47)</f>
        <v>288.47</v>
      </c>
    </row>
    <row r="25">
      <c r="A25" s="74">
        <f>IFERROR(__xludf.DUMMYFUNCTION("""COMPUTED_VALUE"""),45932.66666666667)</f>
        <v>45932.66667</v>
      </c>
      <c r="B25" s="58">
        <f>IFERROR(__xludf.DUMMYFUNCTION("""COMPUTED_VALUE"""),46519.72)</f>
        <v>46519.72</v>
      </c>
      <c r="C25" s="75">
        <f>IFERROR(__xludf.DUMMYFUNCTION("""COMPUTED_VALUE"""),45932.66666666667)</f>
        <v>45932.66667</v>
      </c>
      <c r="D25" s="50">
        <f>IFERROR(__xludf.DUMMYFUNCTION("""COMPUTED_VALUE"""),22844.05)</f>
        <v>22844.05</v>
      </c>
      <c r="E25" s="72">
        <f>IFERROR(__xludf.DUMMYFUNCTION("""COMPUTED_VALUE"""),45932.66666666667)</f>
        <v>45932.66667</v>
      </c>
      <c r="F25" s="50">
        <f>IFERROR(__xludf.DUMMYFUNCTION("""COMPUTED_VALUE"""),6715.35)</f>
        <v>6715.35</v>
      </c>
      <c r="G25" s="72">
        <f>IFERROR(__xludf.DUMMYFUNCTION("""COMPUTED_VALUE"""),45932.66666666667)</f>
        <v>45932.66667</v>
      </c>
      <c r="H25" s="50">
        <f>IFERROR(__xludf.DUMMYFUNCTION("""COMPUTED_VALUE"""),288.11)</f>
        <v>288.11</v>
      </c>
    </row>
    <row r="26">
      <c r="A26" s="74">
        <f>IFERROR(__xludf.DUMMYFUNCTION("""COMPUTED_VALUE"""),45933.66666666667)</f>
        <v>45933.66667</v>
      </c>
      <c r="B26" s="58">
        <f>IFERROR(__xludf.DUMMYFUNCTION("""COMPUTED_VALUE"""),46758.28)</f>
        <v>46758.28</v>
      </c>
      <c r="C26" s="75">
        <f>IFERROR(__xludf.DUMMYFUNCTION("""COMPUTED_VALUE"""),45933.66666666667)</f>
        <v>45933.66667</v>
      </c>
      <c r="D26" s="50">
        <f>IFERROR(__xludf.DUMMYFUNCTION("""COMPUTED_VALUE"""),22780.51)</f>
        <v>22780.51</v>
      </c>
      <c r="E26" s="72">
        <f>IFERROR(__xludf.DUMMYFUNCTION("""COMPUTED_VALUE"""),45933.66666666667)</f>
        <v>45933.66667</v>
      </c>
      <c r="F26" s="50">
        <f>IFERROR(__xludf.DUMMYFUNCTION("""COMPUTED_VALUE"""),6715.79)</f>
        <v>6715.79</v>
      </c>
      <c r="G26" s="72">
        <f>IFERROR(__xludf.DUMMYFUNCTION("""COMPUTED_VALUE"""),45933.66666666667)</f>
        <v>45933.66667</v>
      </c>
      <c r="H26" s="50">
        <f>IFERROR(__xludf.DUMMYFUNCTION("""COMPUTED_VALUE"""),292.19)</f>
        <v>292.19</v>
      </c>
      <c r="I26" s="16"/>
    </row>
    <row r="27">
      <c r="A27" s="74">
        <f>IFERROR(__xludf.DUMMYFUNCTION("""COMPUTED_VALUE"""),45936.66666666667)</f>
        <v>45936.66667</v>
      </c>
      <c r="B27" s="58">
        <f>IFERROR(__xludf.DUMMYFUNCTION("""COMPUTED_VALUE"""),46694.97)</f>
        <v>46694.97</v>
      </c>
      <c r="C27" s="75">
        <f>IFERROR(__xludf.DUMMYFUNCTION("""COMPUTED_VALUE"""),45936.66666666667)</f>
        <v>45936.66667</v>
      </c>
      <c r="D27" s="50">
        <f>IFERROR(__xludf.DUMMYFUNCTION("""COMPUTED_VALUE"""),22941.67)</f>
        <v>22941.67</v>
      </c>
      <c r="E27" s="72">
        <f>IFERROR(__xludf.DUMMYFUNCTION("""COMPUTED_VALUE"""),45936.66666666667)</f>
        <v>45936.66667</v>
      </c>
      <c r="F27" s="50">
        <f>IFERROR(__xludf.DUMMYFUNCTION("""COMPUTED_VALUE"""),6740.28)</f>
        <v>6740.28</v>
      </c>
      <c r="G27" s="72">
        <f>IFERROR(__xludf.DUMMYFUNCTION("""COMPUTED_VALUE"""),45936.66666666667)</f>
        <v>45936.66667</v>
      </c>
      <c r="H27" s="50">
        <f>IFERROR(__xludf.DUMMYFUNCTION("""COMPUTED_VALUE"""),302.4)</f>
        <v>302.4</v>
      </c>
    </row>
    <row r="28">
      <c r="A28" s="74">
        <f>IFERROR(__xludf.DUMMYFUNCTION("""COMPUTED_VALUE"""),45937.66666666667)</f>
        <v>45937.66667</v>
      </c>
      <c r="B28" s="58">
        <f>IFERROR(__xludf.DUMMYFUNCTION("""COMPUTED_VALUE"""),46602.98)</f>
        <v>46602.98</v>
      </c>
      <c r="C28" s="75">
        <f>IFERROR(__xludf.DUMMYFUNCTION("""COMPUTED_VALUE"""),45937.66666666667)</f>
        <v>45937.66667</v>
      </c>
      <c r="D28" s="50">
        <f>IFERROR(__xludf.DUMMYFUNCTION("""COMPUTED_VALUE"""),22788.36)</f>
        <v>22788.36</v>
      </c>
      <c r="E28" s="72">
        <f>IFERROR(__xludf.DUMMYFUNCTION("""COMPUTED_VALUE"""),45937.66666666667)</f>
        <v>45937.66667</v>
      </c>
      <c r="F28" s="50">
        <f>IFERROR(__xludf.DUMMYFUNCTION("""COMPUTED_VALUE"""),6714.59)</f>
        <v>6714.59</v>
      </c>
      <c r="G28" s="72">
        <f>IFERROR(__xludf.DUMMYFUNCTION("""COMPUTED_VALUE"""),45937.66666666667)</f>
        <v>45937.66667</v>
      </c>
      <c r="H28" s="50">
        <f>IFERROR(__xludf.DUMMYFUNCTION("""COMPUTED_VALUE"""),294.03)</f>
        <v>294.03</v>
      </c>
    </row>
    <row r="29">
      <c r="A29" s="74">
        <f>IFERROR(__xludf.DUMMYFUNCTION("""COMPUTED_VALUE"""),45938.66666666667)</f>
        <v>45938.66667</v>
      </c>
      <c r="B29" s="58">
        <f>IFERROR(__xludf.DUMMYFUNCTION("""COMPUTED_VALUE"""),46601.78)</f>
        <v>46601.78</v>
      </c>
      <c r="C29" s="75">
        <f>IFERROR(__xludf.DUMMYFUNCTION("""COMPUTED_VALUE"""),45938.66666666667)</f>
        <v>45938.66667</v>
      </c>
      <c r="D29" s="50">
        <f>IFERROR(__xludf.DUMMYFUNCTION("""COMPUTED_VALUE"""),23043.38)</f>
        <v>23043.38</v>
      </c>
      <c r="E29" s="72">
        <f>IFERROR(__xludf.DUMMYFUNCTION("""COMPUTED_VALUE"""),45938.66666666667)</f>
        <v>45938.66667</v>
      </c>
      <c r="F29" s="50">
        <f>IFERROR(__xludf.DUMMYFUNCTION("""COMPUTED_VALUE"""),6753.72)</f>
        <v>6753.72</v>
      </c>
      <c r="G29" s="72">
        <f>IFERROR(__xludf.DUMMYFUNCTION("""COMPUTED_VALUE"""),45938.66666666667)</f>
        <v>45938.66667</v>
      </c>
      <c r="H29" s="50">
        <f>IFERROR(__xludf.DUMMYFUNCTION("""COMPUTED_VALUE"""),304.52)</f>
        <v>304.52</v>
      </c>
      <c r="I29" s="31"/>
      <c r="J29" s="69"/>
    </row>
    <row r="30">
      <c r="A30" s="74">
        <f>IFERROR(__xludf.DUMMYFUNCTION("""COMPUTED_VALUE"""),45939.66666666667)</f>
        <v>45939.66667</v>
      </c>
      <c r="B30" s="58">
        <f>IFERROR(__xludf.DUMMYFUNCTION("""COMPUTED_VALUE"""),46358.42)</f>
        <v>46358.42</v>
      </c>
      <c r="C30" s="75">
        <f>IFERROR(__xludf.DUMMYFUNCTION("""COMPUTED_VALUE"""),45939.66666666667)</f>
        <v>45939.66667</v>
      </c>
      <c r="D30" s="50">
        <f>IFERROR(__xludf.DUMMYFUNCTION("""COMPUTED_VALUE"""),23024.63)</f>
        <v>23024.63</v>
      </c>
      <c r="E30" s="72">
        <f>IFERROR(__xludf.DUMMYFUNCTION("""COMPUTED_VALUE"""),45939.66666666667)</f>
        <v>45939.66667</v>
      </c>
      <c r="F30" s="50">
        <f>IFERROR(__xludf.DUMMYFUNCTION("""COMPUTED_VALUE"""),6735.11)</f>
        <v>6735.11</v>
      </c>
      <c r="G30" s="72">
        <f>IFERROR(__xludf.DUMMYFUNCTION("""COMPUTED_VALUE"""),45939.66666666667)</f>
        <v>45939.66667</v>
      </c>
      <c r="H30" s="50">
        <f>IFERROR(__xludf.DUMMYFUNCTION("""COMPUTED_VALUE"""),299.88)</f>
        <v>299.88</v>
      </c>
      <c r="I30" s="57"/>
    </row>
    <row r="31">
      <c r="A31" s="74">
        <f>IFERROR(__xludf.DUMMYFUNCTION("""COMPUTED_VALUE"""),45940.66666666667)</f>
        <v>45940.66667</v>
      </c>
      <c r="B31" s="58">
        <f>IFERROR(__xludf.DUMMYFUNCTION("""COMPUTED_VALUE"""),45479.6)</f>
        <v>45479.6</v>
      </c>
      <c r="C31" s="75">
        <f>IFERROR(__xludf.DUMMYFUNCTION("""COMPUTED_VALUE"""),45940.66666666667)</f>
        <v>45940.66667</v>
      </c>
      <c r="D31" s="50">
        <f>IFERROR(__xludf.DUMMYFUNCTION("""COMPUTED_VALUE"""),22204.43)</f>
        <v>22204.43</v>
      </c>
      <c r="E31" s="72">
        <f>IFERROR(__xludf.DUMMYFUNCTION("""COMPUTED_VALUE"""),45940.66666666667)</f>
        <v>45940.66667</v>
      </c>
      <c r="F31" s="50">
        <f>IFERROR(__xludf.DUMMYFUNCTION("""COMPUTED_VALUE"""),6552.51)</f>
        <v>6552.51</v>
      </c>
      <c r="G31" s="72">
        <f>IFERROR(__xludf.DUMMYFUNCTION("""COMPUTED_VALUE"""),45940.66666666667)</f>
        <v>45940.66667</v>
      </c>
      <c r="H31" s="50">
        <f>IFERROR(__xludf.DUMMYFUNCTION("""COMPUTED_VALUE"""),280.66)</f>
        <v>280.66</v>
      </c>
      <c r="I31" s="57"/>
    </row>
    <row r="32">
      <c r="A32" s="74">
        <f>IFERROR(__xludf.DUMMYFUNCTION("""COMPUTED_VALUE"""),45943.66666666667)</f>
        <v>45943.66667</v>
      </c>
      <c r="B32" s="58">
        <f>IFERROR(__xludf.DUMMYFUNCTION("""COMPUTED_VALUE"""),46067.58)</f>
        <v>46067.58</v>
      </c>
      <c r="C32" s="75">
        <f>IFERROR(__xludf.DUMMYFUNCTION("""COMPUTED_VALUE"""),45943.66666666667)</f>
        <v>45943.66667</v>
      </c>
      <c r="D32" s="50">
        <f>IFERROR(__xludf.DUMMYFUNCTION("""COMPUTED_VALUE"""),22694.61)</f>
        <v>22694.61</v>
      </c>
      <c r="E32" s="72">
        <f>IFERROR(__xludf.DUMMYFUNCTION("""COMPUTED_VALUE"""),45943.66666666667)</f>
        <v>45943.66667</v>
      </c>
      <c r="F32" s="50">
        <f>IFERROR(__xludf.DUMMYFUNCTION("""COMPUTED_VALUE"""),6654.72)</f>
        <v>6654.72</v>
      </c>
      <c r="G32" s="72">
        <f>IFERROR(__xludf.DUMMYFUNCTION("""COMPUTED_VALUE"""),45943.66666666667)</f>
        <v>45943.66667</v>
      </c>
      <c r="H32" s="50">
        <f>IFERROR(__xludf.DUMMYFUNCTION("""COMPUTED_VALUE"""),302.89)</f>
        <v>302.89</v>
      </c>
    </row>
    <row r="33">
      <c r="A33" s="74">
        <f>IFERROR(__xludf.DUMMYFUNCTION("""COMPUTED_VALUE"""),45944.66666666667)</f>
        <v>45944.66667</v>
      </c>
      <c r="B33" s="58">
        <f>IFERROR(__xludf.DUMMYFUNCTION("""COMPUTED_VALUE"""),46270.46)</f>
        <v>46270.46</v>
      </c>
      <c r="C33" s="75">
        <f>IFERROR(__xludf.DUMMYFUNCTION("""COMPUTED_VALUE"""),45944.66666666667)</f>
        <v>45944.66667</v>
      </c>
      <c r="D33" s="50">
        <f>IFERROR(__xludf.DUMMYFUNCTION("""COMPUTED_VALUE"""),22521.7)</f>
        <v>22521.7</v>
      </c>
      <c r="E33" s="72">
        <f>IFERROR(__xludf.DUMMYFUNCTION("""COMPUTED_VALUE"""),45944.66666666667)</f>
        <v>45944.66667</v>
      </c>
      <c r="F33" s="50">
        <f>IFERROR(__xludf.DUMMYFUNCTION("""COMPUTED_VALUE"""),6644.31)</f>
        <v>6644.31</v>
      </c>
      <c r="G33" s="72">
        <f>IFERROR(__xludf.DUMMYFUNCTION("""COMPUTED_VALUE"""),45944.66666666667)</f>
        <v>45944.66667</v>
      </c>
      <c r="H33" s="50">
        <f>IFERROR(__xludf.DUMMYFUNCTION("""COMPUTED_VALUE"""),295.94)</f>
        <v>295.94</v>
      </c>
      <c r="I33" s="57"/>
    </row>
    <row r="34">
      <c r="A34" s="74">
        <f>IFERROR(__xludf.DUMMYFUNCTION("""COMPUTED_VALUE"""),45945.66666666667)</f>
        <v>45945.66667</v>
      </c>
      <c r="B34" s="58">
        <f>IFERROR(__xludf.DUMMYFUNCTION("""COMPUTED_VALUE"""),46253.31)</f>
        <v>46253.31</v>
      </c>
      <c r="C34" s="75">
        <f>IFERROR(__xludf.DUMMYFUNCTION("""COMPUTED_VALUE"""),45945.66666666667)</f>
        <v>45945.66667</v>
      </c>
      <c r="D34" s="50">
        <f>IFERROR(__xludf.DUMMYFUNCTION("""COMPUTED_VALUE"""),22670.08)</f>
        <v>22670.08</v>
      </c>
      <c r="E34" s="72">
        <f>IFERROR(__xludf.DUMMYFUNCTION("""COMPUTED_VALUE"""),45945.66666666667)</f>
        <v>45945.66667</v>
      </c>
      <c r="F34" s="50">
        <f>IFERROR(__xludf.DUMMYFUNCTION("""COMPUTED_VALUE"""),6671.06)</f>
        <v>6671.06</v>
      </c>
      <c r="G34" s="72">
        <f>IFERROR(__xludf.DUMMYFUNCTION("""COMPUTED_VALUE"""),45945.66666666667)</f>
        <v>45945.66667</v>
      </c>
      <c r="H34" s="50">
        <f>IFERROR(__xludf.DUMMYFUNCTION("""COMPUTED_VALUE"""),304.71)</f>
        <v>304.71</v>
      </c>
      <c r="I34" s="57"/>
    </row>
    <row r="35">
      <c r="A35" s="74">
        <f>IFERROR(__xludf.DUMMYFUNCTION("""COMPUTED_VALUE"""),45946.66666666667)</f>
        <v>45946.66667</v>
      </c>
      <c r="B35" s="58">
        <f>IFERROR(__xludf.DUMMYFUNCTION("""COMPUTED_VALUE"""),45952.24)</f>
        <v>45952.24</v>
      </c>
      <c r="C35" s="75">
        <f>IFERROR(__xludf.DUMMYFUNCTION("""COMPUTED_VALUE"""),45946.66666666667)</f>
        <v>45946.66667</v>
      </c>
      <c r="D35" s="50">
        <f>IFERROR(__xludf.DUMMYFUNCTION("""COMPUTED_VALUE"""),22562.54)</f>
        <v>22562.54</v>
      </c>
      <c r="E35" s="72">
        <f>IFERROR(__xludf.DUMMYFUNCTION("""COMPUTED_VALUE"""),45946.66666666667)</f>
        <v>45946.66667</v>
      </c>
      <c r="F35" s="50">
        <f>IFERROR(__xludf.DUMMYFUNCTION("""COMPUTED_VALUE"""),6629.07)</f>
        <v>6629.07</v>
      </c>
      <c r="G35" s="72">
        <f>IFERROR(__xludf.DUMMYFUNCTION("""COMPUTED_VALUE"""),45946.66666666667)</f>
        <v>45946.66667</v>
      </c>
      <c r="H35" s="50">
        <f>IFERROR(__xludf.DUMMYFUNCTION("""COMPUTED_VALUE"""),299.84)</f>
        <v>299.84</v>
      </c>
      <c r="I35" s="16"/>
    </row>
    <row r="36">
      <c r="A36" s="74">
        <f>IFERROR(__xludf.DUMMYFUNCTION("""COMPUTED_VALUE"""),45947.66666666667)</f>
        <v>45947.66667</v>
      </c>
      <c r="B36" s="58">
        <f>IFERROR(__xludf.DUMMYFUNCTION("""COMPUTED_VALUE"""),46190.61)</f>
        <v>46190.61</v>
      </c>
      <c r="C36" s="75">
        <f>IFERROR(__xludf.DUMMYFUNCTION("""COMPUTED_VALUE"""),45947.66666666667)</f>
        <v>45947.66667</v>
      </c>
      <c r="D36" s="50">
        <f>IFERROR(__xludf.DUMMYFUNCTION("""COMPUTED_VALUE"""),22679.98)</f>
        <v>22679.98</v>
      </c>
      <c r="E36" s="72">
        <f>IFERROR(__xludf.DUMMYFUNCTION("""COMPUTED_VALUE"""),45947.66666666667)</f>
        <v>45947.66667</v>
      </c>
      <c r="F36" s="50">
        <f>IFERROR(__xludf.DUMMYFUNCTION("""COMPUTED_VALUE"""),6664.01)</f>
        <v>6664.01</v>
      </c>
      <c r="G36" s="72">
        <f>IFERROR(__xludf.DUMMYFUNCTION("""COMPUTED_VALUE"""),45947.66666666667)</f>
        <v>45947.66667</v>
      </c>
      <c r="H36" s="50">
        <f>IFERROR(__xludf.DUMMYFUNCTION("""COMPUTED_VALUE"""),295.08)</f>
        <v>295.08</v>
      </c>
    </row>
    <row r="37">
      <c r="A37" s="74">
        <f>IFERROR(__xludf.DUMMYFUNCTION("""COMPUTED_VALUE"""),45950.66666666667)</f>
        <v>45950.66667</v>
      </c>
      <c r="B37" s="58">
        <f>IFERROR(__xludf.DUMMYFUNCTION("""COMPUTED_VALUE"""),46706.58)</f>
        <v>46706.58</v>
      </c>
      <c r="C37" s="75">
        <f>IFERROR(__xludf.DUMMYFUNCTION("""COMPUTED_VALUE"""),45950.66666666667)</f>
        <v>45950.66667</v>
      </c>
      <c r="D37" s="50">
        <f>IFERROR(__xludf.DUMMYFUNCTION("""COMPUTED_VALUE"""),22990.54)</f>
        <v>22990.54</v>
      </c>
      <c r="E37" s="72">
        <f>IFERROR(__xludf.DUMMYFUNCTION("""COMPUTED_VALUE"""),45950.66666666667)</f>
        <v>45950.66667</v>
      </c>
      <c r="F37" s="50">
        <f>IFERROR(__xludf.DUMMYFUNCTION("""COMPUTED_VALUE"""),6735.13)</f>
        <v>6735.13</v>
      </c>
      <c r="G37" s="72">
        <f>IFERROR(__xludf.DUMMYFUNCTION("""COMPUTED_VALUE"""),45950.66666666667)</f>
        <v>45950.66667</v>
      </c>
      <c r="H37" s="50">
        <f>IFERROR(__xludf.DUMMYFUNCTION("""COMPUTED_VALUE"""),297.7)</f>
        <v>297.7</v>
      </c>
    </row>
    <row r="38">
      <c r="A38" s="74">
        <f>IFERROR(__xludf.DUMMYFUNCTION("""COMPUTED_VALUE"""),45951.66666666667)</f>
        <v>45951.66667</v>
      </c>
      <c r="B38" s="58">
        <f>IFERROR(__xludf.DUMMYFUNCTION("""COMPUTED_VALUE"""),46924.74)</f>
        <v>46924.74</v>
      </c>
      <c r="C38" s="75">
        <f>IFERROR(__xludf.DUMMYFUNCTION("""COMPUTED_VALUE"""),45951.66666666667)</f>
        <v>45951.66667</v>
      </c>
      <c r="D38" s="50">
        <f>IFERROR(__xludf.DUMMYFUNCTION("""COMPUTED_VALUE"""),22953.67)</f>
        <v>22953.67</v>
      </c>
      <c r="E38" s="72">
        <f>IFERROR(__xludf.DUMMYFUNCTION("""COMPUTED_VALUE"""),45951.66666666667)</f>
        <v>45951.66667</v>
      </c>
      <c r="F38" s="50">
        <f>IFERROR(__xludf.DUMMYFUNCTION("""COMPUTED_VALUE"""),6735.35)</f>
        <v>6735.35</v>
      </c>
      <c r="G38" s="72">
        <f>IFERROR(__xludf.DUMMYFUNCTION("""COMPUTED_VALUE"""),45951.66666666667)</f>
        <v>45951.66667</v>
      </c>
      <c r="H38" s="50">
        <f>IFERROR(__xludf.DUMMYFUNCTION("""COMPUTED_VALUE"""),294.51)</f>
        <v>294.51</v>
      </c>
      <c r="I38" s="31"/>
      <c r="J38" s="69"/>
    </row>
    <row r="39">
      <c r="A39" s="74">
        <f>IFERROR(__xludf.DUMMYFUNCTION("""COMPUTED_VALUE"""),45952.66666666667)</f>
        <v>45952.66667</v>
      </c>
      <c r="B39" s="58">
        <f>IFERROR(__xludf.DUMMYFUNCTION("""COMPUTED_VALUE"""),46590.41)</f>
        <v>46590.41</v>
      </c>
      <c r="C39" s="75">
        <f>IFERROR(__xludf.DUMMYFUNCTION("""COMPUTED_VALUE"""),45952.66666666667)</f>
        <v>45952.66667</v>
      </c>
      <c r="D39" s="50">
        <f>IFERROR(__xludf.DUMMYFUNCTION("""COMPUTED_VALUE"""),22740.4)</f>
        <v>22740.4</v>
      </c>
      <c r="E39" s="72">
        <f>IFERROR(__xludf.DUMMYFUNCTION("""COMPUTED_VALUE"""),45952.66666666667)</f>
        <v>45952.66667</v>
      </c>
      <c r="F39" s="50">
        <f>IFERROR(__xludf.DUMMYFUNCTION("""COMPUTED_VALUE"""),6699.4)</f>
        <v>6699.4</v>
      </c>
      <c r="G39" s="72">
        <f>IFERROR(__xludf.DUMMYFUNCTION("""COMPUTED_VALUE"""),45952.66666666667)</f>
        <v>45952.66667</v>
      </c>
      <c r="H39" s="50">
        <f>IFERROR(__xludf.DUMMYFUNCTION("""COMPUTED_VALUE"""),288.88)</f>
        <v>288.88</v>
      </c>
      <c r="I39" s="57"/>
    </row>
    <row r="40">
      <c r="A40" s="74">
        <f>IFERROR(__xludf.DUMMYFUNCTION("""COMPUTED_VALUE"""),45953.66666666667)</f>
        <v>45953.66667</v>
      </c>
      <c r="B40" s="58">
        <f>IFERROR(__xludf.DUMMYFUNCTION("""COMPUTED_VALUE"""),46734.61)</f>
        <v>46734.61</v>
      </c>
      <c r="C40" s="75">
        <f>IFERROR(__xludf.DUMMYFUNCTION("""COMPUTED_VALUE"""),45953.66666666667)</f>
        <v>45953.66667</v>
      </c>
      <c r="D40" s="50">
        <f>IFERROR(__xludf.DUMMYFUNCTION("""COMPUTED_VALUE"""),22941.8)</f>
        <v>22941.8</v>
      </c>
      <c r="E40" s="72">
        <f>IFERROR(__xludf.DUMMYFUNCTION("""COMPUTED_VALUE"""),45953.66666666667)</f>
        <v>45953.66667</v>
      </c>
      <c r="F40" s="50">
        <f>IFERROR(__xludf.DUMMYFUNCTION("""COMPUTED_VALUE"""),6738.44)</f>
        <v>6738.44</v>
      </c>
      <c r="G40" s="72">
        <f>IFERROR(__xludf.DUMMYFUNCTION("""COMPUTED_VALUE"""),45953.66666666667)</f>
        <v>45953.66667</v>
      </c>
      <c r="H40" s="50">
        <f>IFERROR(__xludf.DUMMYFUNCTION("""COMPUTED_VALUE"""),290.73)</f>
        <v>290.73</v>
      </c>
      <c r="I40" s="57"/>
    </row>
    <row r="41">
      <c r="A41" s="74">
        <f>IFERROR(__xludf.DUMMYFUNCTION("""COMPUTED_VALUE"""),45954.66666666667)</f>
        <v>45954.66667</v>
      </c>
      <c r="B41" s="58">
        <f>IFERROR(__xludf.DUMMYFUNCTION("""COMPUTED_VALUE"""),47207.12)</f>
        <v>47207.12</v>
      </c>
      <c r="C41" s="75">
        <f>IFERROR(__xludf.DUMMYFUNCTION("""COMPUTED_VALUE"""),45954.66666666667)</f>
        <v>45954.66667</v>
      </c>
      <c r="D41" s="50">
        <f>IFERROR(__xludf.DUMMYFUNCTION("""COMPUTED_VALUE"""),23204.87)</f>
        <v>23204.87</v>
      </c>
      <c r="E41" s="72">
        <f>IFERROR(__xludf.DUMMYFUNCTION("""COMPUTED_VALUE"""),45954.66666666667)</f>
        <v>45954.66667</v>
      </c>
      <c r="F41" s="50">
        <f>IFERROR(__xludf.DUMMYFUNCTION("""COMPUTED_VALUE"""),6791.69)</f>
        <v>6791.69</v>
      </c>
      <c r="G41" s="72">
        <f>IFERROR(__xludf.DUMMYFUNCTION("""COMPUTED_VALUE"""),45954.66666666667)</f>
        <v>45954.66667</v>
      </c>
      <c r="H41" s="50">
        <f>IFERROR(__xludf.DUMMYFUNCTION("""COMPUTED_VALUE"""),294.96)</f>
        <v>294.96</v>
      </c>
    </row>
    <row r="42">
      <c r="A42" s="74">
        <f>IFERROR(__xludf.DUMMYFUNCTION("""COMPUTED_VALUE"""),45957.66666666667)</f>
        <v>45957.66667</v>
      </c>
      <c r="B42" s="58">
        <f>IFERROR(__xludf.DUMMYFUNCTION("""COMPUTED_VALUE"""),47544.59)</f>
        <v>47544.59</v>
      </c>
      <c r="C42" s="75">
        <f>IFERROR(__xludf.DUMMYFUNCTION("""COMPUTED_VALUE"""),45957.66666666667)</f>
        <v>45957.66667</v>
      </c>
      <c r="D42" s="50">
        <f>IFERROR(__xludf.DUMMYFUNCTION("""COMPUTED_VALUE"""),23637.46)</f>
        <v>23637.46</v>
      </c>
      <c r="E42" s="72">
        <f>IFERROR(__xludf.DUMMYFUNCTION("""COMPUTED_VALUE"""),45957.66666666667)</f>
        <v>45957.66667</v>
      </c>
      <c r="F42" s="50">
        <f>IFERROR(__xludf.DUMMYFUNCTION("""COMPUTED_VALUE"""),6875.16)</f>
        <v>6875.16</v>
      </c>
      <c r="G42" s="72">
        <f>IFERROR(__xludf.DUMMYFUNCTION("""COMPUTED_VALUE"""),45957.66666666667)</f>
        <v>45957.66667</v>
      </c>
      <c r="H42" s="50">
        <f>IFERROR(__xludf.DUMMYFUNCTION("""COMPUTED_VALUE"""),298.25)</f>
        <v>298.25</v>
      </c>
      <c r="I42" s="57"/>
    </row>
    <row r="43">
      <c r="A43" s="74">
        <f>IFERROR(__xludf.DUMMYFUNCTION("""COMPUTED_VALUE"""),45958.66666666667)</f>
        <v>45958.66667</v>
      </c>
      <c r="B43" s="58">
        <f>IFERROR(__xludf.DUMMYFUNCTION("""COMPUTED_VALUE"""),47706.37)</f>
        <v>47706.37</v>
      </c>
      <c r="C43" s="75">
        <f>IFERROR(__xludf.DUMMYFUNCTION("""COMPUTED_VALUE"""),45958.66666666667)</f>
        <v>45958.66667</v>
      </c>
      <c r="D43" s="50">
        <f>IFERROR(__xludf.DUMMYFUNCTION("""COMPUTED_VALUE"""),23827.49)</f>
        <v>23827.49</v>
      </c>
      <c r="E43" s="72">
        <f>IFERROR(__xludf.DUMMYFUNCTION("""COMPUTED_VALUE"""),45958.66666666667)</f>
        <v>45958.66667</v>
      </c>
      <c r="F43" s="50">
        <f>IFERROR(__xludf.DUMMYFUNCTION("""COMPUTED_VALUE"""),6890.89)</f>
        <v>6890.89</v>
      </c>
      <c r="G43" s="72">
        <f>IFERROR(__xludf.DUMMYFUNCTION("""COMPUTED_VALUE"""),45958.66666666667)</f>
        <v>45958.66667</v>
      </c>
      <c r="H43" s="50">
        <f>IFERROR(__xludf.DUMMYFUNCTION("""COMPUTED_VALUE"""),301.53)</f>
        <v>301.53</v>
      </c>
      <c r="I43" s="57"/>
    </row>
    <row r="44">
      <c r="A44" s="74">
        <f>IFERROR(__xludf.DUMMYFUNCTION("""COMPUTED_VALUE"""),45959.66666666667)</f>
        <v>45959.66667</v>
      </c>
      <c r="B44" s="58">
        <f>IFERROR(__xludf.DUMMYFUNCTION("""COMPUTED_VALUE"""),47632.0)</f>
        <v>47632</v>
      </c>
      <c r="C44" s="75">
        <f>IFERROR(__xludf.DUMMYFUNCTION("""COMPUTED_VALUE"""),45959.66666666667)</f>
        <v>45959.66667</v>
      </c>
      <c r="D44" s="50">
        <f>IFERROR(__xludf.DUMMYFUNCTION("""COMPUTED_VALUE"""),23958.47)</f>
        <v>23958.47</v>
      </c>
      <c r="E44" s="72">
        <f>IFERROR(__xludf.DUMMYFUNCTION("""COMPUTED_VALUE"""),45959.66666666667)</f>
        <v>45959.66667</v>
      </c>
      <c r="F44" s="50">
        <f>IFERROR(__xludf.DUMMYFUNCTION("""COMPUTED_VALUE"""),6890.59)</f>
        <v>6890.59</v>
      </c>
      <c r="G44" s="72">
        <f>IFERROR(__xludf.DUMMYFUNCTION("""COMPUTED_VALUE"""),45959.66666666667)</f>
        <v>45959.66667</v>
      </c>
      <c r="H44" s="50">
        <f>IFERROR(__xludf.DUMMYFUNCTION("""COMPUTED_VALUE"""),305.09)</f>
        <v>305.09</v>
      </c>
      <c r="I44" s="16"/>
    </row>
    <row r="45">
      <c r="A45" s="74">
        <f>IFERROR(__xludf.DUMMYFUNCTION("""COMPUTED_VALUE"""),45960.66666666667)</f>
        <v>45960.66667</v>
      </c>
      <c r="B45" s="58">
        <f>IFERROR(__xludf.DUMMYFUNCTION("""COMPUTED_VALUE"""),47522.12)</f>
        <v>47522.12</v>
      </c>
      <c r="C45" s="75">
        <f>IFERROR(__xludf.DUMMYFUNCTION("""COMPUTED_VALUE"""),45960.66666666667)</f>
        <v>45960.66667</v>
      </c>
      <c r="D45" s="50">
        <f>IFERROR(__xludf.DUMMYFUNCTION("""COMPUTED_VALUE"""),23581.14)</f>
        <v>23581.14</v>
      </c>
      <c r="E45" s="72">
        <f>IFERROR(__xludf.DUMMYFUNCTION("""COMPUTED_VALUE"""),45960.66666666667)</f>
        <v>45960.66667</v>
      </c>
      <c r="F45" s="50">
        <f>IFERROR(__xludf.DUMMYFUNCTION("""COMPUTED_VALUE"""),6822.34)</f>
        <v>6822.34</v>
      </c>
      <c r="G45" s="72">
        <f>IFERROR(__xludf.DUMMYFUNCTION("""COMPUTED_VALUE"""),45960.66666666667)</f>
        <v>45960.66667</v>
      </c>
      <c r="H45" s="50">
        <f>IFERROR(__xludf.DUMMYFUNCTION("""COMPUTED_VALUE"""),303.22)</f>
        <v>303.22</v>
      </c>
    </row>
    <row r="46">
      <c r="A46" s="74">
        <f>IFERROR(__xludf.DUMMYFUNCTION("""COMPUTED_VALUE"""),45961.66666666667)</f>
        <v>45961.66667</v>
      </c>
      <c r="B46" s="58">
        <f>IFERROR(__xludf.DUMMYFUNCTION("""COMPUTED_VALUE"""),47562.87)</f>
        <v>47562.87</v>
      </c>
      <c r="C46" s="75">
        <f>IFERROR(__xludf.DUMMYFUNCTION("""COMPUTED_VALUE"""),45961.66666666667)</f>
        <v>45961.66667</v>
      </c>
      <c r="D46" s="50">
        <f>IFERROR(__xludf.DUMMYFUNCTION("""COMPUTED_VALUE"""),23724.96)</f>
        <v>23724.96</v>
      </c>
      <c r="E46" s="72">
        <f>IFERROR(__xludf.DUMMYFUNCTION("""COMPUTED_VALUE"""),45961.66666666667)</f>
        <v>45961.66667</v>
      </c>
      <c r="F46" s="50">
        <f>IFERROR(__xludf.DUMMYFUNCTION("""COMPUTED_VALUE"""),6840.2)</f>
        <v>6840.2</v>
      </c>
      <c r="G46" s="72">
        <f>IFERROR(__xludf.DUMMYFUNCTION("""COMPUTED_VALUE"""),45961.66666666667)</f>
        <v>45961.66667</v>
      </c>
      <c r="H46" s="50">
        <f>IFERROR(__xludf.DUMMYFUNCTION("""COMPUTED_VALUE"""),300.43)</f>
        <v>300.43</v>
      </c>
    </row>
    <row r="47">
      <c r="A47" s="74">
        <f>IFERROR(__xludf.DUMMYFUNCTION("""COMPUTED_VALUE"""),45964.66666666667)</f>
        <v>45964.66667</v>
      </c>
      <c r="B47" s="58">
        <f>IFERROR(__xludf.DUMMYFUNCTION("""COMPUTED_VALUE"""),47336.68)</f>
        <v>47336.68</v>
      </c>
      <c r="C47" s="75">
        <f>IFERROR(__xludf.DUMMYFUNCTION("""COMPUTED_VALUE"""),45964.66666666667)</f>
        <v>45964.66667</v>
      </c>
      <c r="D47" s="50">
        <f>IFERROR(__xludf.DUMMYFUNCTION("""COMPUTED_VALUE"""),23834.72)</f>
        <v>23834.72</v>
      </c>
      <c r="E47" s="72">
        <f>IFERROR(__xludf.DUMMYFUNCTION("""COMPUTED_VALUE"""),45964.66666666667)</f>
        <v>45964.66667</v>
      </c>
      <c r="F47" s="50">
        <f>IFERROR(__xludf.DUMMYFUNCTION("""COMPUTED_VALUE"""),6851.97)</f>
        <v>6851.97</v>
      </c>
      <c r="G47" s="72">
        <f>IFERROR(__xludf.DUMMYFUNCTION("""COMPUTED_VALUE"""),45964.66666666667)</f>
        <v>45964.66667</v>
      </c>
      <c r="H47" s="50">
        <f>IFERROR(__xludf.DUMMYFUNCTION("""COMPUTED_VALUE"""),304.86)</f>
        <v>304.86</v>
      </c>
    </row>
    <row r="48">
      <c r="A48" s="74">
        <f>IFERROR(__xludf.DUMMYFUNCTION("""COMPUTED_VALUE"""),45965.66666666667)</f>
        <v>45965.66667</v>
      </c>
      <c r="B48" s="58">
        <f>IFERROR(__xludf.DUMMYFUNCTION("""COMPUTED_VALUE"""),47085.24)</f>
        <v>47085.24</v>
      </c>
      <c r="C48" s="75">
        <f>IFERROR(__xludf.DUMMYFUNCTION("""COMPUTED_VALUE"""),45965.66666666667)</f>
        <v>45965.66667</v>
      </c>
      <c r="D48" s="50">
        <f>IFERROR(__xludf.DUMMYFUNCTION("""COMPUTED_VALUE"""),23348.64)</f>
        <v>23348.64</v>
      </c>
      <c r="E48" s="72">
        <f>IFERROR(__xludf.DUMMYFUNCTION("""COMPUTED_VALUE"""),45965.66666666667)</f>
        <v>45965.66667</v>
      </c>
      <c r="F48" s="50">
        <f>IFERROR(__xludf.DUMMYFUNCTION("""COMPUTED_VALUE"""),6771.55)</f>
        <v>6771.55</v>
      </c>
      <c r="G48" s="72">
        <f>IFERROR(__xludf.DUMMYFUNCTION("""COMPUTED_VALUE"""),45965.66666666667)</f>
        <v>45965.66667</v>
      </c>
      <c r="H48" s="50">
        <f>IFERROR(__xludf.DUMMYFUNCTION("""COMPUTED_VALUE"""),294.05)</f>
        <v>294.05</v>
      </c>
    </row>
    <row r="49">
      <c r="A49" s="74">
        <f>IFERROR(__xludf.DUMMYFUNCTION("""COMPUTED_VALUE"""),45966.66666666667)</f>
        <v>45966.66667</v>
      </c>
      <c r="B49" s="58">
        <f>IFERROR(__xludf.DUMMYFUNCTION("""COMPUTED_VALUE"""),47311.0)</f>
        <v>47311</v>
      </c>
      <c r="C49" s="75">
        <f>IFERROR(__xludf.DUMMYFUNCTION("""COMPUTED_VALUE"""),45966.66666666667)</f>
        <v>45966.66667</v>
      </c>
      <c r="D49" s="50">
        <f>IFERROR(__xludf.DUMMYFUNCTION("""COMPUTED_VALUE"""),23499.8)</f>
        <v>23499.8</v>
      </c>
      <c r="E49" s="72">
        <f>IFERROR(__xludf.DUMMYFUNCTION("""COMPUTED_VALUE"""),45966.66666666667)</f>
        <v>45966.66667</v>
      </c>
      <c r="F49" s="50">
        <f>IFERROR(__xludf.DUMMYFUNCTION("""COMPUTED_VALUE"""),6796.29)</f>
        <v>6796.29</v>
      </c>
      <c r="G49" s="72">
        <f>IFERROR(__xludf.DUMMYFUNCTION("""COMPUTED_VALUE"""),45966.66666666667)</f>
        <v>45966.66667</v>
      </c>
      <c r="H49" s="50">
        <f>IFERROR(__xludf.DUMMYFUNCTION("""COMPUTED_VALUE"""),293.64)</f>
        <v>293.64</v>
      </c>
    </row>
    <row r="50">
      <c r="A50" s="74">
        <f>IFERROR(__xludf.DUMMYFUNCTION("""COMPUTED_VALUE"""),45967.66666666667)</f>
        <v>45967.66667</v>
      </c>
      <c r="B50" s="58">
        <f>IFERROR(__xludf.DUMMYFUNCTION("""COMPUTED_VALUE"""),46912.3)</f>
        <v>46912.3</v>
      </c>
      <c r="C50" s="75">
        <f>IFERROR(__xludf.DUMMYFUNCTION("""COMPUTED_VALUE"""),45967.66666666667)</f>
        <v>45967.66667</v>
      </c>
      <c r="D50" s="50">
        <f>IFERROR(__xludf.DUMMYFUNCTION("""COMPUTED_VALUE"""),23053.99)</f>
        <v>23053.99</v>
      </c>
      <c r="E50" s="72">
        <f>IFERROR(__xludf.DUMMYFUNCTION("""COMPUTED_VALUE"""),45967.66666666667)</f>
        <v>45967.66667</v>
      </c>
      <c r="F50" s="50">
        <f>IFERROR(__xludf.DUMMYFUNCTION("""COMPUTED_VALUE"""),6720.32)</f>
        <v>6720.32</v>
      </c>
      <c r="G50" s="72">
        <f>IFERROR(__xludf.DUMMYFUNCTION("""COMPUTED_VALUE"""),45967.66666666667)</f>
        <v>45967.66667</v>
      </c>
      <c r="H50" s="50">
        <f>IFERROR(__xludf.DUMMYFUNCTION("""COMPUTED_VALUE"""),289.24)</f>
        <v>289.24</v>
      </c>
    </row>
    <row r="51">
      <c r="A51" s="74">
        <f>IFERROR(__xludf.DUMMYFUNCTION("""COMPUTED_VALUE"""),45968.66666666667)</f>
        <v>45968.66667</v>
      </c>
      <c r="B51" s="58">
        <f>IFERROR(__xludf.DUMMYFUNCTION("""COMPUTED_VALUE"""),46987.1)</f>
        <v>46987.1</v>
      </c>
      <c r="C51" s="75">
        <f>IFERROR(__xludf.DUMMYFUNCTION("""COMPUTED_VALUE"""),45968.66666666667)</f>
        <v>45968.66667</v>
      </c>
      <c r="D51" s="50">
        <f>IFERROR(__xludf.DUMMYFUNCTION("""COMPUTED_VALUE"""),23004.54)</f>
        <v>23004.54</v>
      </c>
      <c r="E51" s="76">
        <f>IFERROR(__xludf.DUMMYFUNCTION("""COMPUTED_VALUE"""),45968.66666666667)</f>
        <v>45968.66667</v>
      </c>
      <c r="F51" s="50">
        <f>IFERROR(__xludf.DUMMYFUNCTION("""COMPUTED_VALUE"""),6728.8)</f>
        <v>6728.8</v>
      </c>
      <c r="G51" s="76">
        <f>IFERROR(__xludf.DUMMYFUNCTION("""COMPUTED_VALUE"""),45968.66666666667)</f>
        <v>45968.66667</v>
      </c>
      <c r="H51" s="50">
        <f>IFERROR(__xludf.DUMMYFUNCTION("""COMPUTED_VALUE"""),286.5)</f>
        <v>286.5</v>
      </c>
    </row>
    <row r="52">
      <c r="A52" s="74">
        <f>IFERROR(__xludf.DUMMYFUNCTION("""COMPUTED_VALUE"""),45971.66666666667)</f>
        <v>45971.66667</v>
      </c>
      <c r="B52" s="58">
        <f>IFERROR(__xludf.DUMMYFUNCTION("""COMPUTED_VALUE"""),47368.63)</f>
        <v>47368.63</v>
      </c>
      <c r="C52" s="75">
        <f>IFERROR(__xludf.DUMMYFUNCTION("""COMPUTED_VALUE"""),45971.66666666667)</f>
        <v>45971.66667</v>
      </c>
      <c r="D52" s="50">
        <f>IFERROR(__xludf.DUMMYFUNCTION("""COMPUTED_VALUE"""),23527.17)</f>
        <v>23527.17</v>
      </c>
      <c r="E52" s="76">
        <f>IFERROR(__xludf.DUMMYFUNCTION("""COMPUTED_VALUE"""),45971.66666666667)</f>
        <v>45971.66667</v>
      </c>
      <c r="F52" s="50">
        <f>IFERROR(__xludf.DUMMYFUNCTION("""COMPUTED_VALUE"""),6832.43)</f>
        <v>6832.43</v>
      </c>
      <c r="G52" s="76">
        <f>IFERROR(__xludf.DUMMYFUNCTION("""COMPUTED_VALUE"""),45971.66666666667)</f>
        <v>45971.66667</v>
      </c>
      <c r="H52" s="50">
        <f>IFERROR(__xludf.DUMMYFUNCTION("""COMPUTED_VALUE"""),295.27)</f>
        <v>295.27</v>
      </c>
    </row>
    <row r="53">
      <c r="A53" s="72">
        <f>IFERROR(__xludf.DUMMYFUNCTION("""COMPUTED_VALUE"""),45972.66666666667)</f>
        <v>45972.66667</v>
      </c>
      <c r="B53" s="58">
        <f>IFERROR(__xludf.DUMMYFUNCTION("""COMPUTED_VALUE"""),47927.96)</f>
        <v>47927.96</v>
      </c>
      <c r="C53" s="73">
        <f>IFERROR(__xludf.DUMMYFUNCTION("""COMPUTED_VALUE"""),45972.66666666667)</f>
        <v>45972.66667</v>
      </c>
      <c r="D53" s="50">
        <f>IFERROR(__xludf.DUMMYFUNCTION("""COMPUTED_VALUE"""),23468.3)</f>
        <v>23468.3</v>
      </c>
      <c r="E53" s="76">
        <f>IFERROR(__xludf.DUMMYFUNCTION("""COMPUTED_VALUE"""),45972.66666666667)</f>
        <v>45972.66667</v>
      </c>
      <c r="F53" s="50">
        <f>IFERROR(__xludf.DUMMYFUNCTION("""COMPUTED_VALUE"""),6846.61)</f>
        <v>6846.61</v>
      </c>
      <c r="G53" s="76">
        <f>IFERROR(__xludf.DUMMYFUNCTION("""COMPUTED_VALUE"""),45972.66666666667)</f>
        <v>45972.66667</v>
      </c>
      <c r="H53" s="50">
        <f>IFERROR(__xludf.DUMMYFUNCTION("""COMPUTED_VALUE"""),291.17)</f>
        <v>291.17</v>
      </c>
    </row>
    <row r="54">
      <c r="A54" s="72">
        <f>IFERROR(__xludf.DUMMYFUNCTION("""COMPUTED_VALUE"""),45973.66666666667)</f>
        <v>45973.66667</v>
      </c>
      <c r="B54" s="58">
        <f>IFERROR(__xludf.DUMMYFUNCTION("""COMPUTED_VALUE"""),48254.82)</f>
        <v>48254.82</v>
      </c>
      <c r="C54" s="73">
        <f>IFERROR(__xludf.DUMMYFUNCTION("""COMPUTED_VALUE"""),45973.66666666667)</f>
        <v>45973.66667</v>
      </c>
      <c r="D54" s="50">
        <f>IFERROR(__xludf.DUMMYFUNCTION("""COMPUTED_VALUE"""),23406.46)</f>
        <v>23406.46</v>
      </c>
      <c r="E54" s="76">
        <f>IFERROR(__xludf.DUMMYFUNCTION("""COMPUTED_VALUE"""),45973.66666666667)</f>
        <v>45973.66667</v>
      </c>
      <c r="F54" s="50">
        <f>IFERROR(__xludf.DUMMYFUNCTION("""COMPUTED_VALUE"""),6850.92)</f>
        <v>6850.92</v>
      </c>
      <c r="G54" s="76">
        <f>IFERROR(__xludf.DUMMYFUNCTION("""COMPUTED_VALUE"""),45973.66666666667)</f>
        <v>45973.66667</v>
      </c>
      <c r="H54" s="50">
        <f>IFERROR(__xludf.DUMMYFUNCTION("""COMPUTED_VALUE"""),290.62)</f>
        <v>290.62</v>
      </c>
    </row>
    <row r="55">
      <c r="A55" s="72">
        <f>IFERROR(__xludf.DUMMYFUNCTION("""COMPUTED_VALUE"""),45974.66666666667)</f>
        <v>45974.66667</v>
      </c>
      <c r="B55" s="58">
        <f>IFERROR(__xludf.DUMMYFUNCTION("""COMPUTED_VALUE"""),47457.22)</f>
        <v>47457.22</v>
      </c>
      <c r="C55" s="73">
        <f>IFERROR(__xludf.DUMMYFUNCTION("""COMPUTED_VALUE"""),45974.66666666667)</f>
        <v>45974.66667</v>
      </c>
      <c r="D55" s="50">
        <f>IFERROR(__xludf.DUMMYFUNCTION("""COMPUTED_VALUE"""),22870.36)</f>
        <v>22870.36</v>
      </c>
      <c r="E55" s="76">
        <f>IFERROR(__xludf.DUMMYFUNCTION("""COMPUTED_VALUE"""),45974.66666666667)</f>
        <v>45974.66667</v>
      </c>
      <c r="F55" s="50">
        <f>IFERROR(__xludf.DUMMYFUNCTION("""COMPUTED_VALUE"""),6737.49)</f>
        <v>6737.49</v>
      </c>
      <c r="G55" s="76">
        <f>IFERROR(__xludf.DUMMYFUNCTION("""COMPUTED_VALUE"""),45974.66666666667)</f>
        <v>45974.66667</v>
      </c>
      <c r="H55" s="50">
        <f>IFERROR(__xludf.DUMMYFUNCTION("""COMPUTED_VALUE"""),282.2)</f>
        <v>282.2</v>
      </c>
    </row>
    <row r="56">
      <c r="A56" s="72">
        <f>IFERROR(__xludf.DUMMYFUNCTION("""COMPUTED_VALUE"""),45975.66666666667)</f>
        <v>45975.66667</v>
      </c>
      <c r="B56" s="58">
        <f>IFERROR(__xludf.DUMMYFUNCTION("""COMPUTED_VALUE"""),47147.48)</f>
        <v>47147.48</v>
      </c>
      <c r="C56" s="73">
        <f>IFERROR(__xludf.DUMMYFUNCTION("""COMPUTED_VALUE"""),45975.66666666667)</f>
        <v>45975.66667</v>
      </c>
      <c r="D56" s="50">
        <f>IFERROR(__xludf.DUMMYFUNCTION("""COMPUTED_VALUE"""),22900.59)</f>
        <v>22900.59</v>
      </c>
      <c r="E56" s="76">
        <f>IFERROR(__xludf.DUMMYFUNCTION("""COMPUTED_VALUE"""),45975.66666666667)</f>
        <v>45975.66667</v>
      </c>
      <c r="F56" s="50">
        <f>IFERROR(__xludf.DUMMYFUNCTION("""COMPUTED_VALUE"""),6734.11)</f>
        <v>6734.11</v>
      </c>
      <c r="G56" s="76">
        <f>IFERROR(__xludf.DUMMYFUNCTION("""COMPUTED_VALUE"""),45975.66666666667)</f>
        <v>45975.66667</v>
      </c>
      <c r="H56" s="50">
        <f>IFERROR(__xludf.DUMMYFUNCTION("""COMPUTED_VALUE"""),284.82)</f>
        <v>284.82</v>
      </c>
    </row>
    <row r="57">
      <c r="A57" s="72">
        <f>IFERROR(__xludf.DUMMYFUNCTION("""COMPUTED_VALUE"""),45978.66666666667)</f>
        <v>45978.66667</v>
      </c>
      <c r="B57" s="58">
        <f>IFERROR(__xludf.DUMMYFUNCTION("""COMPUTED_VALUE"""),46590.24)</f>
        <v>46590.24</v>
      </c>
      <c r="C57" s="73">
        <f>IFERROR(__xludf.DUMMYFUNCTION("""COMPUTED_VALUE"""),45978.66666666667)</f>
        <v>45978.66667</v>
      </c>
      <c r="D57" s="50">
        <f>IFERROR(__xludf.DUMMYFUNCTION("""COMPUTED_VALUE"""),22708.08)</f>
        <v>22708.08</v>
      </c>
      <c r="E57" s="76">
        <f>IFERROR(__xludf.DUMMYFUNCTION("""COMPUTED_VALUE"""),45978.66666666667)</f>
        <v>45978.66667</v>
      </c>
      <c r="F57" s="50">
        <f>IFERROR(__xludf.DUMMYFUNCTION("""COMPUTED_VALUE"""),6672.41)</f>
        <v>6672.41</v>
      </c>
      <c r="G57" s="76">
        <f>IFERROR(__xludf.DUMMYFUNCTION("""COMPUTED_VALUE"""),45978.66666666667)</f>
        <v>45978.66667</v>
      </c>
      <c r="H57" s="50">
        <f>IFERROR(__xludf.DUMMYFUNCTION("""COMPUTED_VALUE"""),282.01)</f>
        <v>282.01</v>
      </c>
    </row>
    <row r="58">
      <c r="A58" s="72">
        <f>IFERROR(__xludf.DUMMYFUNCTION("""COMPUTED_VALUE"""),45979.66666666667)</f>
        <v>45979.66667</v>
      </c>
      <c r="B58" s="58">
        <f>IFERROR(__xludf.DUMMYFUNCTION("""COMPUTED_VALUE"""),46091.74)</f>
        <v>46091.74</v>
      </c>
      <c r="C58" s="73">
        <f>IFERROR(__xludf.DUMMYFUNCTION("""COMPUTED_VALUE"""),45979.66666666667)</f>
        <v>45979.66667</v>
      </c>
      <c r="D58" s="50">
        <f>IFERROR(__xludf.DUMMYFUNCTION("""COMPUTED_VALUE"""),22432.85)</f>
        <v>22432.85</v>
      </c>
      <c r="E58" s="76">
        <f>IFERROR(__xludf.DUMMYFUNCTION("""COMPUTED_VALUE"""),45979.66666666667)</f>
        <v>45979.66667</v>
      </c>
      <c r="F58" s="50">
        <f>IFERROR(__xludf.DUMMYFUNCTION("""COMPUTED_VALUE"""),6617.32)</f>
        <v>6617.32</v>
      </c>
      <c r="G58" s="76">
        <f>IFERROR(__xludf.DUMMYFUNCTION("""COMPUTED_VALUE"""),45979.66666666667)</f>
        <v>45979.66667</v>
      </c>
      <c r="H58" s="50">
        <f>IFERROR(__xludf.DUMMYFUNCTION("""COMPUTED_VALUE"""),277.91)</f>
        <v>277.91</v>
      </c>
    </row>
    <row r="59">
      <c r="A59" s="72">
        <f>IFERROR(__xludf.DUMMYFUNCTION("""COMPUTED_VALUE"""),45980.66666666667)</f>
        <v>45980.66667</v>
      </c>
      <c r="B59" s="58">
        <f>IFERROR(__xludf.DUMMYFUNCTION("""COMPUTED_VALUE"""),46138.77)</f>
        <v>46138.77</v>
      </c>
      <c r="C59" s="73">
        <f>IFERROR(__xludf.DUMMYFUNCTION("""COMPUTED_VALUE"""),45980.66666666667)</f>
        <v>45980.66667</v>
      </c>
      <c r="D59" s="50">
        <f>IFERROR(__xludf.DUMMYFUNCTION("""COMPUTED_VALUE"""),22564.23)</f>
        <v>22564.23</v>
      </c>
      <c r="E59" s="76">
        <f>IFERROR(__xludf.DUMMYFUNCTION("""COMPUTED_VALUE"""),45980.66666666667)</f>
        <v>45980.66667</v>
      </c>
      <c r="F59" s="50">
        <f>IFERROR(__xludf.DUMMYFUNCTION("""COMPUTED_VALUE"""),6642.16)</f>
        <v>6642.16</v>
      </c>
      <c r="G59" s="76">
        <f>IFERROR(__xludf.DUMMYFUNCTION("""COMPUTED_VALUE"""),45980.66666666667)</f>
        <v>45980.66667</v>
      </c>
      <c r="H59" s="50">
        <f>IFERROR(__xludf.DUMMYFUNCTION("""COMPUTED_VALUE"""),282.37)</f>
        <v>282.37</v>
      </c>
    </row>
    <row r="60">
      <c r="A60" s="72">
        <f>IFERROR(__xludf.DUMMYFUNCTION("""COMPUTED_VALUE"""),45981.66666666667)</f>
        <v>45981.66667</v>
      </c>
      <c r="B60" s="58">
        <f>IFERROR(__xludf.DUMMYFUNCTION("""COMPUTED_VALUE"""),45752.26)</f>
        <v>45752.26</v>
      </c>
      <c r="C60" s="73">
        <f>IFERROR(__xludf.DUMMYFUNCTION("""COMPUTED_VALUE"""),45981.66666666667)</f>
        <v>45981.66667</v>
      </c>
      <c r="D60" s="50">
        <f>IFERROR(__xludf.DUMMYFUNCTION("""COMPUTED_VALUE"""),22078.05)</f>
        <v>22078.05</v>
      </c>
      <c r="E60" s="76">
        <f>IFERROR(__xludf.DUMMYFUNCTION("""COMPUTED_VALUE"""),45981.66666666667)</f>
        <v>45981.66667</v>
      </c>
      <c r="F60" s="50">
        <f>IFERROR(__xludf.DUMMYFUNCTION("""COMPUTED_VALUE"""),6538.76)</f>
        <v>6538.76</v>
      </c>
      <c r="G60" s="76">
        <f>IFERROR(__xludf.DUMMYFUNCTION("""COMPUTED_VALUE"""),45981.66666666667)</f>
        <v>45981.66667</v>
      </c>
      <c r="H60" s="50">
        <f>IFERROR(__xludf.DUMMYFUNCTION("""COMPUTED_VALUE"""),277.5)</f>
        <v>277.5</v>
      </c>
    </row>
    <row r="61">
      <c r="A61" s="72">
        <f>IFERROR(__xludf.DUMMYFUNCTION("""COMPUTED_VALUE"""),45982.66666666667)</f>
        <v>45982.66667</v>
      </c>
      <c r="B61" s="58">
        <f>IFERROR(__xludf.DUMMYFUNCTION("""COMPUTED_VALUE"""),46245.41)</f>
        <v>46245.41</v>
      </c>
      <c r="C61" s="73">
        <f>IFERROR(__xludf.DUMMYFUNCTION("""COMPUTED_VALUE"""),45982.66666666667)</f>
        <v>45982.66667</v>
      </c>
      <c r="D61" s="50">
        <f>IFERROR(__xludf.DUMMYFUNCTION("""COMPUTED_VALUE"""),22273.08)</f>
        <v>22273.08</v>
      </c>
      <c r="E61" s="76">
        <f>IFERROR(__xludf.DUMMYFUNCTION("""COMPUTED_VALUE"""),45982.66666666667)</f>
        <v>45982.66667</v>
      </c>
      <c r="F61" s="50">
        <f>IFERROR(__xludf.DUMMYFUNCTION("""COMPUTED_VALUE"""),6602.99)</f>
        <v>6602.99</v>
      </c>
      <c r="G61" s="76">
        <f>IFERROR(__xludf.DUMMYFUNCTION("""COMPUTED_VALUE"""),45982.66666666667)</f>
        <v>45982.66667</v>
      </c>
      <c r="H61" s="50">
        <f>IFERROR(__xludf.DUMMYFUNCTION("""COMPUTED_VALUE"""),275.06)</f>
        <v>275.06</v>
      </c>
    </row>
    <row r="62">
      <c r="A62" s="72">
        <f>IFERROR(__xludf.DUMMYFUNCTION("""COMPUTED_VALUE"""),45985.66666666667)</f>
        <v>45985.66667</v>
      </c>
      <c r="B62" s="58">
        <f>IFERROR(__xludf.DUMMYFUNCTION("""COMPUTED_VALUE"""),46448.27)</f>
        <v>46448.27</v>
      </c>
      <c r="C62" s="73">
        <f>IFERROR(__xludf.DUMMYFUNCTION("""COMPUTED_VALUE"""),45985.66666666667)</f>
        <v>45985.66667</v>
      </c>
      <c r="D62" s="50">
        <f>IFERROR(__xludf.DUMMYFUNCTION("""COMPUTED_VALUE"""),22872.01)</f>
        <v>22872.01</v>
      </c>
      <c r="E62" s="76">
        <f>IFERROR(__xludf.DUMMYFUNCTION("""COMPUTED_VALUE"""),45985.66666666667)</f>
        <v>45985.66667</v>
      </c>
      <c r="F62" s="50">
        <f>IFERROR(__xludf.DUMMYFUNCTION("""COMPUTED_VALUE"""),6705.12)</f>
        <v>6705.12</v>
      </c>
      <c r="G62" s="76">
        <f>IFERROR(__xludf.DUMMYFUNCTION("""COMPUTED_VALUE"""),45985.66666666667)</f>
        <v>45985.66667</v>
      </c>
      <c r="H62" s="50">
        <f>IFERROR(__xludf.DUMMYFUNCTION("""COMPUTED_VALUE"""),284.64)</f>
        <v>284.64</v>
      </c>
    </row>
    <row r="63">
      <c r="A63" s="72">
        <f>IFERROR(__xludf.DUMMYFUNCTION("""COMPUTED_VALUE"""),45986.66666666667)</f>
        <v>45986.66667</v>
      </c>
      <c r="B63" s="58">
        <f>IFERROR(__xludf.DUMMYFUNCTION("""COMPUTED_VALUE"""),47112.45)</f>
        <v>47112.45</v>
      </c>
      <c r="C63" s="73">
        <f>IFERROR(__xludf.DUMMYFUNCTION("""COMPUTED_VALUE"""),45986.66666666667)</f>
        <v>45986.66667</v>
      </c>
      <c r="D63" s="50">
        <f>IFERROR(__xludf.DUMMYFUNCTION("""COMPUTED_VALUE"""),23025.59)</f>
        <v>23025.59</v>
      </c>
      <c r="E63" s="76">
        <f>IFERROR(__xludf.DUMMYFUNCTION("""COMPUTED_VALUE"""),45986.66666666667)</f>
        <v>45986.66667</v>
      </c>
      <c r="F63" s="50">
        <f>IFERROR(__xludf.DUMMYFUNCTION("""COMPUTED_VALUE"""),6765.88)</f>
        <v>6765.88</v>
      </c>
      <c r="G63" s="76">
        <f>IFERROR(__xludf.DUMMYFUNCTION("""COMPUTED_VALUE"""),45986.66666666667)</f>
        <v>45986.66667</v>
      </c>
      <c r="H63" s="50">
        <f>IFERROR(__xludf.DUMMYFUNCTION("""COMPUTED_VALUE"""),284.68)</f>
        <v>284.68</v>
      </c>
    </row>
    <row r="64">
      <c r="A64" s="72">
        <f>IFERROR(__xludf.DUMMYFUNCTION("""COMPUTED_VALUE"""),45987.66666666667)</f>
        <v>45987.66667</v>
      </c>
      <c r="B64" s="58">
        <f>IFERROR(__xludf.DUMMYFUNCTION("""COMPUTED_VALUE"""),47427.12)</f>
        <v>47427.12</v>
      </c>
      <c r="C64" s="73">
        <f>IFERROR(__xludf.DUMMYFUNCTION("""COMPUTED_VALUE"""),45987.66666666667)</f>
        <v>45987.66667</v>
      </c>
      <c r="D64" s="50">
        <f>IFERROR(__xludf.DUMMYFUNCTION("""COMPUTED_VALUE"""),23214.69)</f>
        <v>23214.69</v>
      </c>
      <c r="E64" s="76">
        <f>IFERROR(__xludf.DUMMYFUNCTION("""COMPUTED_VALUE"""),45987.66666666667)</f>
        <v>45987.66667</v>
      </c>
      <c r="F64" s="50">
        <f>IFERROR(__xludf.DUMMYFUNCTION("""COMPUTED_VALUE"""),6812.61)</f>
        <v>6812.61</v>
      </c>
      <c r="G64" s="76">
        <f>IFERROR(__xludf.DUMMYFUNCTION("""COMPUTED_VALUE"""),45987.66666666667)</f>
        <v>45987.66667</v>
      </c>
      <c r="H64" s="50">
        <f>IFERROR(__xludf.DUMMYFUNCTION("""COMPUTED_VALUE"""),289.96)</f>
        <v>289.96</v>
      </c>
    </row>
    <row r="65">
      <c r="A65" s="72">
        <f>IFERROR(__xludf.DUMMYFUNCTION("""COMPUTED_VALUE"""),45989.54166666667)</f>
        <v>45989.54167</v>
      </c>
      <c r="B65" s="58">
        <f>IFERROR(__xludf.DUMMYFUNCTION("""COMPUTED_VALUE"""),47716.42)</f>
        <v>47716.42</v>
      </c>
      <c r="C65" s="73">
        <f>IFERROR(__xludf.DUMMYFUNCTION("""COMPUTED_VALUE"""),45989.54513888889)</f>
        <v>45989.54514</v>
      </c>
      <c r="D65" s="50">
        <f>IFERROR(__xludf.DUMMYFUNCTION("""COMPUTED_VALUE"""),23365.69)</f>
        <v>23365.69</v>
      </c>
      <c r="E65" s="76">
        <f>IFERROR(__xludf.DUMMYFUNCTION("""COMPUTED_VALUE"""),45989.54166666667)</f>
        <v>45989.54167</v>
      </c>
      <c r="F65" s="50">
        <f>IFERROR(__xludf.DUMMYFUNCTION("""COMPUTED_VALUE"""),6849.09)</f>
        <v>6849.09</v>
      </c>
      <c r="G65" s="76">
        <f>IFERROR(__xludf.DUMMYFUNCTION("""COMPUTED_VALUE"""),45989.54166666667)</f>
        <v>45989.54167</v>
      </c>
      <c r="H65" s="50">
        <f>IFERROR(__xludf.DUMMYFUNCTION("""COMPUTED_VALUE"""),291.51)</f>
        <v>291.51</v>
      </c>
    </row>
    <row r="66">
      <c r="A66" s="72">
        <f>IFERROR(__xludf.DUMMYFUNCTION("""COMPUTED_VALUE"""),45992.66666666667)</f>
        <v>45992.66667</v>
      </c>
      <c r="B66" s="58">
        <f>IFERROR(__xludf.DUMMYFUNCTION("""COMPUTED_VALUE"""),47289.33)</f>
        <v>47289.33</v>
      </c>
      <c r="C66" s="73">
        <f>IFERROR(__xludf.DUMMYFUNCTION("""COMPUTED_VALUE"""),45992.66666666667)</f>
        <v>45992.66667</v>
      </c>
      <c r="D66" s="50">
        <f>IFERROR(__xludf.DUMMYFUNCTION("""COMPUTED_VALUE"""),23275.92)</f>
        <v>23275.92</v>
      </c>
      <c r="E66" s="76">
        <f>IFERROR(__xludf.DUMMYFUNCTION("""COMPUTED_VALUE"""),45992.66666666667)</f>
        <v>45992.66667</v>
      </c>
      <c r="F66" s="50">
        <f>IFERROR(__xludf.DUMMYFUNCTION("""COMPUTED_VALUE"""),6812.63)</f>
        <v>6812.63</v>
      </c>
      <c r="G66" s="76">
        <f>IFERROR(__xludf.DUMMYFUNCTION("""COMPUTED_VALUE"""),45992.66666666667)</f>
        <v>45992.66667</v>
      </c>
      <c r="H66" s="50">
        <f>IFERROR(__xludf.DUMMYFUNCTION("""COMPUTED_VALUE"""),287.68)</f>
        <v>287.68</v>
      </c>
    </row>
    <row r="67">
      <c r="A67" s="72">
        <f>IFERROR(__xludf.DUMMYFUNCTION("""COMPUTED_VALUE"""),45993.66666666667)</f>
        <v>45993.66667</v>
      </c>
      <c r="B67" s="58">
        <f>IFERROR(__xludf.DUMMYFUNCTION("""COMPUTED_VALUE"""),47474.46)</f>
        <v>47474.46</v>
      </c>
      <c r="C67" s="73">
        <f>IFERROR(__xludf.DUMMYFUNCTION("""COMPUTED_VALUE"""),45993.66666666667)</f>
        <v>45993.66667</v>
      </c>
      <c r="D67" s="50">
        <f>IFERROR(__xludf.DUMMYFUNCTION("""COMPUTED_VALUE"""),23413.67)</f>
        <v>23413.67</v>
      </c>
      <c r="E67" s="76">
        <f>IFERROR(__xludf.DUMMYFUNCTION("""COMPUTED_VALUE"""),45993.66666666667)</f>
        <v>45993.66667</v>
      </c>
      <c r="F67" s="50">
        <f>IFERROR(__xludf.DUMMYFUNCTION("""COMPUTED_VALUE"""),6829.37)</f>
        <v>6829.37</v>
      </c>
      <c r="G67" s="76">
        <f>IFERROR(__xludf.DUMMYFUNCTION("""COMPUTED_VALUE"""),45993.66666666667)</f>
        <v>45993.66667</v>
      </c>
      <c r="H67" s="50">
        <f>IFERROR(__xludf.DUMMYFUNCTION("""COMPUTED_VALUE"""),292.09)</f>
        <v>292.09</v>
      </c>
    </row>
    <row r="68">
      <c r="A68" s="72">
        <f>IFERROR(__xludf.DUMMYFUNCTION("""COMPUTED_VALUE"""),45994.66666666667)</f>
        <v>45994.66667</v>
      </c>
      <c r="B68" s="58">
        <f>IFERROR(__xludf.DUMMYFUNCTION("""COMPUTED_VALUE"""),47882.9)</f>
        <v>47882.9</v>
      </c>
      <c r="C68" s="73">
        <f>IFERROR(__xludf.DUMMYFUNCTION("""COMPUTED_VALUE"""),45994.66666666667)</f>
        <v>45994.66667</v>
      </c>
      <c r="D68" s="50">
        <f>IFERROR(__xludf.DUMMYFUNCTION("""COMPUTED_VALUE"""),23454.09)</f>
        <v>23454.09</v>
      </c>
      <c r="E68" s="76">
        <f>IFERROR(__xludf.DUMMYFUNCTION("""COMPUTED_VALUE"""),45994.66666666667)</f>
        <v>45994.66667</v>
      </c>
      <c r="F68" s="50">
        <f>IFERROR(__xludf.DUMMYFUNCTION("""COMPUTED_VALUE"""),6849.72)</f>
        <v>6849.72</v>
      </c>
      <c r="G68" s="76">
        <f>IFERROR(__xludf.DUMMYFUNCTION("""COMPUTED_VALUE"""),45994.66666666667)</f>
        <v>45994.66667</v>
      </c>
      <c r="H68" s="50">
        <f>IFERROR(__xludf.DUMMYFUNCTION("""COMPUTED_VALUE"""),295.45)</f>
        <v>295.45</v>
      </c>
    </row>
    <row r="69">
      <c r="A69" s="72">
        <f>IFERROR(__xludf.DUMMYFUNCTION("""COMPUTED_VALUE"""),45995.66666666667)</f>
        <v>45995.66667</v>
      </c>
      <c r="B69" s="58">
        <f>IFERROR(__xludf.DUMMYFUNCTION("""COMPUTED_VALUE"""),47850.94)</f>
        <v>47850.94</v>
      </c>
      <c r="C69" s="73">
        <f>IFERROR(__xludf.DUMMYFUNCTION("""COMPUTED_VALUE"""),45995.66666666667)</f>
        <v>45995.66667</v>
      </c>
      <c r="D69" s="50">
        <f>IFERROR(__xludf.DUMMYFUNCTION("""COMPUTED_VALUE"""),23505.14)</f>
        <v>23505.14</v>
      </c>
      <c r="E69" s="76">
        <f>IFERROR(__xludf.DUMMYFUNCTION("""COMPUTED_VALUE"""),45995.66666666667)</f>
        <v>45995.66667</v>
      </c>
      <c r="F69" s="50">
        <f>IFERROR(__xludf.DUMMYFUNCTION("""COMPUTED_VALUE"""),6857.12)</f>
        <v>6857.12</v>
      </c>
      <c r="G69" s="76">
        <f>IFERROR(__xludf.DUMMYFUNCTION("""COMPUTED_VALUE"""),45995.66666666667)</f>
        <v>45995.66667</v>
      </c>
      <c r="H69" s="50">
        <f>IFERROR(__xludf.DUMMYFUNCTION("""COMPUTED_VALUE"""),292.93)</f>
        <v>292.93</v>
      </c>
    </row>
    <row r="70">
      <c r="A70" s="72">
        <f>IFERROR(__xludf.DUMMYFUNCTION("""COMPUTED_VALUE"""),45996.66666666667)</f>
        <v>45996.66667</v>
      </c>
      <c r="B70" s="58">
        <f>IFERROR(__xludf.DUMMYFUNCTION("""COMPUTED_VALUE"""),47954.99)</f>
        <v>47954.99</v>
      </c>
      <c r="C70" s="73">
        <f>IFERROR(__xludf.DUMMYFUNCTION("""COMPUTED_VALUE"""),45996.66666666667)</f>
        <v>45996.66667</v>
      </c>
      <c r="D70" s="50">
        <f>IFERROR(__xludf.DUMMYFUNCTION("""COMPUTED_VALUE"""),23578.13)</f>
        <v>23578.13</v>
      </c>
      <c r="E70" s="76">
        <f>IFERROR(__xludf.DUMMYFUNCTION("""COMPUTED_VALUE"""),45996.66666666667)</f>
        <v>45996.66667</v>
      </c>
      <c r="F70" s="50">
        <f>IFERROR(__xludf.DUMMYFUNCTION("""COMPUTED_VALUE"""),6870.4)</f>
        <v>6870.4</v>
      </c>
      <c r="G70" s="76">
        <f>IFERROR(__xludf.DUMMYFUNCTION("""COMPUTED_VALUE"""),45996.66666666667)</f>
        <v>45996.66667</v>
      </c>
      <c r="H70" s="50">
        <f>IFERROR(__xludf.DUMMYFUNCTION("""COMPUTED_VALUE"""),294.72)</f>
        <v>294.72</v>
      </c>
    </row>
    <row r="71">
      <c r="A71" s="72">
        <f>IFERROR(__xludf.DUMMYFUNCTION("""COMPUTED_VALUE"""),45999.66666666667)</f>
        <v>45999.66667</v>
      </c>
      <c r="B71" s="58">
        <f>IFERROR(__xludf.DUMMYFUNCTION("""COMPUTED_VALUE"""),47739.32)</f>
        <v>47739.32</v>
      </c>
      <c r="C71" s="73">
        <f>IFERROR(__xludf.DUMMYFUNCTION("""COMPUTED_VALUE"""),45999.66666666667)</f>
        <v>45999.66667</v>
      </c>
      <c r="D71" s="50">
        <f>IFERROR(__xludf.DUMMYFUNCTION("""COMPUTED_VALUE"""),23545.9)</f>
        <v>23545.9</v>
      </c>
      <c r="E71" s="76">
        <f>IFERROR(__xludf.DUMMYFUNCTION("""COMPUTED_VALUE"""),45999.66666666667)</f>
        <v>45999.66667</v>
      </c>
      <c r="F71" s="50">
        <f>IFERROR(__xludf.DUMMYFUNCTION("""COMPUTED_VALUE"""),6846.51)</f>
        <v>6846.51</v>
      </c>
      <c r="G71" s="76">
        <f>IFERROR(__xludf.DUMMYFUNCTION("""COMPUTED_VALUE"""),45999.66666666667)</f>
        <v>45999.66667</v>
      </c>
      <c r="H71" s="50">
        <f>IFERROR(__xludf.DUMMYFUNCTION("""COMPUTED_VALUE"""),301.87)</f>
        <v>301.87</v>
      </c>
    </row>
    <row r="72">
      <c r="A72" s="72">
        <f>IFERROR(__xludf.DUMMYFUNCTION("""COMPUTED_VALUE"""),46000.66666666667)</f>
        <v>46000.66667</v>
      </c>
      <c r="B72" s="58">
        <f>IFERROR(__xludf.DUMMYFUNCTION("""COMPUTED_VALUE"""),47560.29)</f>
        <v>47560.29</v>
      </c>
      <c r="C72" s="73">
        <f>IFERROR(__xludf.DUMMYFUNCTION("""COMPUTED_VALUE"""),46000.66666666667)</f>
        <v>46000.66667</v>
      </c>
      <c r="D72" s="50">
        <f>IFERROR(__xludf.DUMMYFUNCTION("""COMPUTED_VALUE"""),23576.49)</f>
        <v>23576.49</v>
      </c>
      <c r="E72" s="76">
        <f>IFERROR(__xludf.DUMMYFUNCTION("""COMPUTED_VALUE"""),46000.66666666667)</f>
        <v>46000.66667</v>
      </c>
      <c r="F72" s="50">
        <f>IFERROR(__xludf.DUMMYFUNCTION("""COMPUTED_VALUE"""),6840.51)</f>
        <v>6840.51</v>
      </c>
      <c r="G72" s="76">
        <f>IFERROR(__xludf.DUMMYFUNCTION("""COMPUTED_VALUE"""),46000.66666666667)</f>
        <v>46000.66667</v>
      </c>
      <c r="H72" s="50">
        <f>IFERROR(__xludf.DUMMYFUNCTION("""COMPUTED_VALUE"""),303.41)</f>
        <v>303.41</v>
      </c>
    </row>
    <row r="73">
      <c r="A73" s="72">
        <f>IFERROR(__xludf.DUMMYFUNCTION("""COMPUTED_VALUE"""),46001.66666666667)</f>
        <v>46001.66667</v>
      </c>
      <c r="B73" s="58">
        <f>IFERROR(__xludf.DUMMYFUNCTION("""COMPUTED_VALUE"""),48057.75)</f>
        <v>48057.75</v>
      </c>
      <c r="C73" s="73">
        <f>IFERROR(__xludf.DUMMYFUNCTION("""COMPUTED_VALUE"""),46001.66666666667)</f>
        <v>46001.66667</v>
      </c>
      <c r="D73" s="50">
        <f>IFERROR(__xludf.DUMMYFUNCTION("""COMPUTED_VALUE"""),23654.16)</f>
        <v>23654.16</v>
      </c>
      <c r="E73" s="76">
        <f>IFERROR(__xludf.DUMMYFUNCTION("""COMPUTED_VALUE"""),46001.66666666667)</f>
        <v>46001.66667</v>
      </c>
      <c r="F73" s="50">
        <f>IFERROR(__xludf.DUMMYFUNCTION("""COMPUTED_VALUE"""),6886.68)</f>
        <v>6886.68</v>
      </c>
      <c r="G73" s="76">
        <f>IFERROR(__xludf.DUMMYFUNCTION("""COMPUTED_VALUE"""),46001.66666666667)</f>
        <v>46001.66667</v>
      </c>
      <c r="H73" s="50">
        <f>IFERROR(__xludf.DUMMYFUNCTION("""COMPUTED_VALUE"""),310.14)</f>
        <v>310.14</v>
      </c>
    </row>
    <row r="74">
      <c r="A74" s="72">
        <f>IFERROR(__xludf.DUMMYFUNCTION("""COMPUTED_VALUE"""),46002.66666666667)</f>
        <v>46002.66667</v>
      </c>
      <c r="B74" s="58">
        <f>IFERROR(__xludf.DUMMYFUNCTION("""COMPUTED_VALUE"""),48704.01)</f>
        <v>48704.01</v>
      </c>
      <c r="C74" s="73">
        <f>IFERROR(__xludf.DUMMYFUNCTION("""COMPUTED_VALUE"""),46002.66666666667)</f>
        <v>46002.66667</v>
      </c>
      <c r="D74" s="50">
        <f>IFERROR(__xludf.DUMMYFUNCTION("""COMPUTED_VALUE"""),23593.86)</f>
        <v>23593.86</v>
      </c>
      <c r="E74" s="76">
        <f>IFERROR(__xludf.DUMMYFUNCTION("""COMPUTED_VALUE"""),46002.66666666667)</f>
        <v>46002.66667</v>
      </c>
      <c r="F74" s="50">
        <f>IFERROR(__xludf.DUMMYFUNCTION("""COMPUTED_VALUE"""),6901.0)</f>
        <v>6901</v>
      </c>
      <c r="G74" s="76">
        <f>IFERROR(__xludf.DUMMYFUNCTION("""COMPUTED_VALUE"""),46002.66666666667)</f>
        <v>46002.66667</v>
      </c>
      <c r="H74" s="50">
        <f>IFERROR(__xludf.DUMMYFUNCTION("""COMPUTED_VALUE"""),304.85)</f>
        <v>304.85</v>
      </c>
    </row>
    <row r="75">
      <c r="A75" s="72">
        <f>IFERROR(__xludf.DUMMYFUNCTION("""COMPUTED_VALUE"""),46003.66666666667)</f>
        <v>46003.66667</v>
      </c>
      <c r="B75" s="58">
        <f>IFERROR(__xludf.DUMMYFUNCTION("""COMPUTED_VALUE"""),48458.05)</f>
        <v>48458.05</v>
      </c>
      <c r="C75" s="73">
        <f>IFERROR(__xludf.DUMMYFUNCTION("""COMPUTED_VALUE"""),46003.66666666667)</f>
        <v>46003.66667</v>
      </c>
      <c r="D75" s="50">
        <f>IFERROR(__xludf.DUMMYFUNCTION("""COMPUTED_VALUE"""),23195.17)</f>
        <v>23195.17</v>
      </c>
      <c r="E75" s="76">
        <f>IFERROR(__xludf.DUMMYFUNCTION("""COMPUTED_VALUE"""),46003.66666666667)</f>
        <v>46003.66667</v>
      </c>
      <c r="F75" s="50">
        <f>IFERROR(__xludf.DUMMYFUNCTION("""COMPUTED_VALUE"""),6827.41)</f>
        <v>6827.41</v>
      </c>
      <c r="G75" s="76">
        <f>IFERROR(__xludf.DUMMYFUNCTION("""COMPUTED_VALUE"""),46003.66666666667)</f>
        <v>46003.66667</v>
      </c>
      <c r="H75" s="50">
        <f>IFERROR(__xludf.DUMMYFUNCTION("""COMPUTED_VALUE"""),292.04)</f>
        <v>292.04</v>
      </c>
    </row>
    <row r="76">
      <c r="A76" s="72">
        <f>IFERROR(__xludf.DUMMYFUNCTION("""COMPUTED_VALUE"""),46006.66666666667)</f>
        <v>46006.66667</v>
      </c>
      <c r="B76" s="58">
        <f>IFERROR(__xludf.DUMMYFUNCTION("""COMPUTED_VALUE"""),48416.56)</f>
        <v>48416.56</v>
      </c>
      <c r="C76" s="73">
        <f>IFERROR(__xludf.DUMMYFUNCTION("""COMPUTED_VALUE"""),46006.66666666667)</f>
        <v>46006.66667</v>
      </c>
      <c r="D76" s="50">
        <f>IFERROR(__xludf.DUMMYFUNCTION("""COMPUTED_VALUE"""),23057.41)</f>
        <v>23057.41</v>
      </c>
      <c r="E76" s="76">
        <f>IFERROR(__xludf.DUMMYFUNCTION("""COMPUTED_VALUE"""),46006.66666666667)</f>
        <v>46006.66667</v>
      </c>
      <c r="F76" s="50">
        <f>IFERROR(__xludf.DUMMYFUNCTION("""COMPUTED_VALUE"""),6816.51)</f>
        <v>6816.51</v>
      </c>
      <c r="G76" s="76">
        <f>IFERROR(__xludf.DUMMYFUNCTION("""COMPUTED_VALUE"""),46006.66666666667)</f>
        <v>46006.66667</v>
      </c>
      <c r="H76" s="50">
        <f>IFERROR(__xludf.DUMMYFUNCTION("""COMPUTED_VALUE"""),287.74)</f>
        <v>287.74</v>
      </c>
    </row>
    <row r="77">
      <c r="A77" s="72">
        <f>IFERROR(__xludf.DUMMYFUNCTION("""COMPUTED_VALUE"""),46007.66666666667)</f>
        <v>46007.66667</v>
      </c>
      <c r="B77" s="58">
        <f>IFERROR(__xludf.DUMMYFUNCTION("""COMPUTED_VALUE"""),48114.26)</f>
        <v>48114.26</v>
      </c>
      <c r="C77" s="73">
        <f>IFERROR(__xludf.DUMMYFUNCTION("""COMPUTED_VALUE"""),46007.66666666667)</f>
        <v>46007.66667</v>
      </c>
      <c r="D77" s="50">
        <f>IFERROR(__xludf.DUMMYFUNCTION("""COMPUTED_VALUE"""),23111.46)</f>
        <v>23111.46</v>
      </c>
      <c r="E77" s="76">
        <f>IFERROR(__xludf.DUMMYFUNCTION("""COMPUTED_VALUE"""),46007.66666666667)</f>
        <v>46007.66667</v>
      </c>
      <c r="F77" s="50">
        <f>IFERROR(__xludf.DUMMYFUNCTION("""COMPUTED_VALUE"""),6800.26)</f>
        <v>6800.26</v>
      </c>
      <c r="G77" s="76">
        <f>IFERROR(__xludf.DUMMYFUNCTION("""COMPUTED_VALUE"""),46007.66666666667)</f>
        <v>46007.66667</v>
      </c>
      <c r="H77" s="50">
        <f>IFERROR(__xludf.DUMMYFUNCTION("""COMPUTED_VALUE"""),286.87)</f>
        <v>286.87</v>
      </c>
    </row>
    <row r="78">
      <c r="A78" s="72">
        <f>IFERROR(__xludf.DUMMYFUNCTION("""COMPUTED_VALUE"""),46008.66666666667)</f>
        <v>46008.66667</v>
      </c>
      <c r="B78" s="58">
        <f>IFERROR(__xludf.DUMMYFUNCTION("""COMPUTED_VALUE"""),47885.97)</f>
        <v>47885.97</v>
      </c>
      <c r="C78" s="73">
        <f>IFERROR(__xludf.DUMMYFUNCTION("""COMPUTED_VALUE"""),46008.66666666667)</f>
        <v>46008.66667</v>
      </c>
      <c r="D78" s="50">
        <f>IFERROR(__xludf.DUMMYFUNCTION("""COMPUTED_VALUE"""),22693.32)</f>
        <v>22693.32</v>
      </c>
      <c r="E78" s="76">
        <f>IFERROR(__xludf.DUMMYFUNCTION("""COMPUTED_VALUE"""),46008.66666666667)</f>
        <v>46008.66667</v>
      </c>
      <c r="F78" s="50">
        <f>IFERROR(__xludf.DUMMYFUNCTION("""COMPUTED_VALUE"""),6721.43)</f>
        <v>6721.43</v>
      </c>
      <c r="G78" s="76">
        <f>IFERROR(__xludf.DUMMYFUNCTION("""COMPUTED_VALUE"""),46008.66666666667)</f>
        <v>46008.66667</v>
      </c>
      <c r="H78" s="50">
        <f>IFERROR(__xludf.DUMMYFUNCTION("""COMPUTED_VALUE"""),276.96)</f>
        <v>276.96</v>
      </c>
    </row>
    <row r="79">
      <c r="A79" s="72">
        <f>IFERROR(__xludf.DUMMYFUNCTION("""COMPUTED_VALUE"""),46009.66666666667)</f>
        <v>46009.66667</v>
      </c>
      <c r="B79" s="58">
        <f>IFERROR(__xludf.DUMMYFUNCTION("""COMPUTED_VALUE"""),47951.85)</f>
        <v>47951.85</v>
      </c>
      <c r="C79" s="73">
        <f>IFERROR(__xludf.DUMMYFUNCTION("""COMPUTED_VALUE"""),46009.66666666667)</f>
        <v>46009.66667</v>
      </c>
      <c r="D79" s="50">
        <f>IFERROR(__xludf.DUMMYFUNCTION("""COMPUTED_VALUE"""),23006.36)</f>
        <v>23006.36</v>
      </c>
      <c r="E79" s="76">
        <f>IFERROR(__xludf.DUMMYFUNCTION("""COMPUTED_VALUE"""),46009.66666666667)</f>
        <v>46009.66667</v>
      </c>
      <c r="F79" s="50">
        <f>IFERROR(__xludf.DUMMYFUNCTION("""COMPUTED_VALUE"""),6774.76)</f>
        <v>6774.76</v>
      </c>
      <c r="G79" s="76">
        <f>IFERROR(__xludf.DUMMYFUNCTION("""COMPUTED_VALUE"""),46009.66666666667)</f>
        <v>46009.66667</v>
      </c>
      <c r="H79" s="50">
        <f>IFERROR(__xludf.DUMMYFUNCTION("""COMPUTED_VALUE"""),284.68)</f>
        <v>284.68</v>
      </c>
    </row>
    <row r="80">
      <c r="A80" s="72">
        <f>IFERROR(__xludf.DUMMYFUNCTION("""COMPUTED_VALUE"""),46010.66666666667)</f>
        <v>46010.66667</v>
      </c>
      <c r="B80" s="58">
        <f>IFERROR(__xludf.DUMMYFUNCTION("""COMPUTED_VALUE"""),48134.89)</f>
        <v>48134.89</v>
      </c>
      <c r="C80" s="73">
        <f>IFERROR(__xludf.DUMMYFUNCTION("""COMPUTED_VALUE"""),46010.66666666667)</f>
        <v>46010.66667</v>
      </c>
      <c r="D80" s="50">
        <f>IFERROR(__xludf.DUMMYFUNCTION("""COMPUTED_VALUE"""),23307.62)</f>
        <v>23307.62</v>
      </c>
      <c r="E80" s="76">
        <f>IFERROR(__xludf.DUMMYFUNCTION("""COMPUTED_VALUE"""),46010.66666666667)</f>
        <v>46010.66667</v>
      </c>
      <c r="F80" s="50">
        <f>IFERROR(__xludf.DUMMYFUNCTION("""COMPUTED_VALUE"""),6834.5)</f>
        <v>6834.5</v>
      </c>
      <c r="G80" s="76">
        <f>IFERROR(__xludf.DUMMYFUNCTION("""COMPUTED_VALUE"""),46010.66666666667)</f>
        <v>46010.66667</v>
      </c>
      <c r="H80" s="50">
        <f>IFERROR(__xludf.DUMMYFUNCTION("""COMPUTED_VALUE"""),288.95)</f>
        <v>288.95</v>
      </c>
    </row>
    <row r="81">
      <c r="A81" s="72">
        <f>IFERROR(__xludf.DUMMYFUNCTION("""COMPUTED_VALUE"""),46013.66666666667)</f>
        <v>46013.66667</v>
      </c>
      <c r="B81" s="58">
        <f>IFERROR(__xludf.DUMMYFUNCTION("""COMPUTED_VALUE"""),48362.68)</f>
        <v>48362.68</v>
      </c>
      <c r="C81" s="73">
        <f>IFERROR(__xludf.DUMMYFUNCTION("""COMPUTED_VALUE"""),46013.66666666667)</f>
        <v>46013.66667</v>
      </c>
      <c r="D81" s="50">
        <f>IFERROR(__xludf.DUMMYFUNCTION("""COMPUTED_VALUE"""),23428.83)</f>
        <v>23428.83</v>
      </c>
      <c r="E81" s="76">
        <f>IFERROR(__xludf.DUMMYFUNCTION("""COMPUTED_VALUE"""),46013.66666666667)</f>
        <v>46013.66667</v>
      </c>
      <c r="F81" s="50">
        <f>IFERROR(__xludf.DUMMYFUNCTION("""COMPUTED_VALUE"""),6878.49)</f>
        <v>6878.49</v>
      </c>
      <c r="G81" s="76">
        <f>IFERROR(__xludf.DUMMYFUNCTION("""COMPUTED_VALUE"""),46013.66666666667)</f>
        <v>46013.66667</v>
      </c>
      <c r="H81" s="50">
        <f>IFERROR(__xludf.DUMMYFUNCTION("""COMPUTED_VALUE"""),293.28)</f>
        <v>293.28</v>
      </c>
    </row>
    <row r="82">
      <c r="A82" s="72">
        <f>IFERROR(__xludf.DUMMYFUNCTION("""COMPUTED_VALUE"""),46014.66666666667)</f>
        <v>46014.66667</v>
      </c>
      <c r="B82" s="58">
        <f>IFERROR(__xludf.DUMMYFUNCTION("""COMPUTED_VALUE"""),48442.41)</f>
        <v>48442.41</v>
      </c>
      <c r="C82" s="73">
        <f>IFERROR(__xludf.DUMMYFUNCTION("""COMPUTED_VALUE"""),46014.66666666667)</f>
        <v>46014.66667</v>
      </c>
      <c r="D82" s="50">
        <f>IFERROR(__xludf.DUMMYFUNCTION("""COMPUTED_VALUE"""),23561.84)</f>
        <v>23561.84</v>
      </c>
      <c r="E82" s="76">
        <f>IFERROR(__xludf.DUMMYFUNCTION("""COMPUTED_VALUE"""),46014.66666666667)</f>
        <v>46014.66667</v>
      </c>
      <c r="F82" s="50">
        <f>IFERROR(__xludf.DUMMYFUNCTION("""COMPUTED_VALUE"""),6909.79)</f>
        <v>6909.79</v>
      </c>
      <c r="G82" s="76">
        <f>IFERROR(__xludf.DUMMYFUNCTION("""COMPUTED_VALUE"""),46014.66666666667)</f>
        <v>46014.66667</v>
      </c>
      <c r="H82" s="50">
        <f>IFERROR(__xludf.DUMMYFUNCTION("""COMPUTED_VALUE"""),296.95)</f>
        <v>296.95</v>
      </c>
    </row>
    <row r="83">
      <c r="A83" s="72">
        <f>IFERROR(__xludf.DUMMYFUNCTION("""COMPUTED_VALUE"""),46015.54166666667)</f>
        <v>46015.54167</v>
      </c>
      <c r="B83" s="58">
        <f>IFERROR(__xludf.DUMMYFUNCTION("""COMPUTED_VALUE"""),48731.16)</f>
        <v>48731.16</v>
      </c>
      <c r="C83" s="73">
        <f>IFERROR(__xludf.DUMMYFUNCTION("""COMPUTED_VALUE"""),46015.54513888889)</f>
        <v>46015.54514</v>
      </c>
      <c r="D83" s="50">
        <f>IFERROR(__xludf.DUMMYFUNCTION("""COMPUTED_VALUE"""),23613.31)</f>
        <v>23613.31</v>
      </c>
      <c r="E83" s="76">
        <f>IFERROR(__xludf.DUMMYFUNCTION("""COMPUTED_VALUE"""),46015.54166666667)</f>
        <v>46015.54167</v>
      </c>
      <c r="F83" s="50">
        <f>IFERROR(__xludf.DUMMYFUNCTION("""COMPUTED_VALUE"""),6932.05)</f>
        <v>6932.05</v>
      </c>
      <c r="G83" s="76">
        <f>IFERROR(__xludf.DUMMYFUNCTION("""COMPUTED_VALUE"""),46015.54166666667)</f>
        <v>46015.54167</v>
      </c>
      <c r="H83" s="50">
        <f>IFERROR(__xludf.DUMMYFUNCTION("""COMPUTED_VALUE"""),298.8)</f>
        <v>298.8</v>
      </c>
    </row>
    <row r="84">
      <c r="A84" s="72">
        <f>IFERROR(__xludf.DUMMYFUNCTION("""COMPUTED_VALUE"""),46017.66666666667)</f>
        <v>46017.66667</v>
      </c>
      <c r="B84" s="58">
        <f>IFERROR(__xludf.DUMMYFUNCTION("""COMPUTED_VALUE"""),48710.97)</f>
        <v>48710.97</v>
      </c>
      <c r="C84" s="73">
        <f>IFERROR(__xludf.DUMMYFUNCTION("""COMPUTED_VALUE"""),46017.66666666667)</f>
        <v>46017.66667</v>
      </c>
      <c r="D84" s="50">
        <f>IFERROR(__xludf.DUMMYFUNCTION("""COMPUTED_VALUE"""),23593.1)</f>
        <v>23593.1</v>
      </c>
      <c r="E84" s="76">
        <f>IFERROR(__xludf.DUMMYFUNCTION("""COMPUTED_VALUE"""),46017.66666666667)</f>
        <v>46017.66667</v>
      </c>
      <c r="F84" s="50">
        <f>IFERROR(__xludf.DUMMYFUNCTION("""COMPUTED_VALUE"""),6929.94)</f>
        <v>6929.94</v>
      </c>
      <c r="G84" s="76">
        <f>IFERROR(__xludf.DUMMYFUNCTION("""COMPUTED_VALUE"""),46017.66666666667)</f>
        <v>46017.66667</v>
      </c>
      <c r="H84" s="50">
        <f>IFERROR(__xludf.DUMMYFUNCTION("""COMPUTED_VALUE"""),302.84)</f>
        <v>302.84</v>
      </c>
    </row>
    <row r="85">
      <c r="A85" s="72">
        <f>IFERROR(__xludf.DUMMYFUNCTION("""COMPUTED_VALUE"""),46020.66666666667)</f>
        <v>46020.66667</v>
      </c>
      <c r="B85" s="58">
        <f>IFERROR(__xludf.DUMMYFUNCTION("""COMPUTED_VALUE"""),48461.93)</f>
        <v>48461.93</v>
      </c>
      <c r="C85" s="73">
        <f>IFERROR(__xludf.DUMMYFUNCTION("""COMPUTED_VALUE"""),46020.66666666667)</f>
        <v>46020.66667</v>
      </c>
      <c r="D85" s="50">
        <f>IFERROR(__xludf.DUMMYFUNCTION("""COMPUTED_VALUE"""),23474.35)</f>
        <v>23474.35</v>
      </c>
      <c r="E85" s="76">
        <f>IFERROR(__xludf.DUMMYFUNCTION("""COMPUTED_VALUE"""),46020.66666666667)</f>
        <v>46020.66667</v>
      </c>
      <c r="F85" s="50">
        <f>IFERROR(__xludf.DUMMYFUNCTION("""COMPUTED_VALUE"""),6905.74)</f>
        <v>6905.74</v>
      </c>
      <c r="G85" s="76">
        <f>IFERROR(__xludf.DUMMYFUNCTION("""COMPUTED_VALUE"""),46020.66666666667)</f>
        <v>46020.66667</v>
      </c>
      <c r="H85" s="50">
        <f>IFERROR(__xludf.DUMMYFUNCTION("""COMPUTED_VALUE"""),300.92)</f>
        <v>300.92</v>
      </c>
    </row>
    <row r="86">
      <c r="A86" s="72">
        <f>IFERROR(__xludf.DUMMYFUNCTION("""COMPUTED_VALUE"""),46021.66666666667)</f>
        <v>46021.66667</v>
      </c>
      <c r="B86" s="58">
        <f>IFERROR(__xludf.DUMMYFUNCTION("""COMPUTED_VALUE"""),48367.06)</f>
        <v>48367.06</v>
      </c>
      <c r="C86" s="73">
        <f>IFERROR(__xludf.DUMMYFUNCTION("""COMPUTED_VALUE"""),46021.66666666667)</f>
        <v>46021.66667</v>
      </c>
      <c r="D86" s="50">
        <f>IFERROR(__xludf.DUMMYFUNCTION("""COMPUTED_VALUE"""),23419.08)</f>
        <v>23419.08</v>
      </c>
      <c r="E86" s="76">
        <f>IFERROR(__xludf.DUMMYFUNCTION("""COMPUTED_VALUE"""),46021.66666666667)</f>
        <v>46021.66667</v>
      </c>
      <c r="F86" s="50">
        <f>IFERROR(__xludf.DUMMYFUNCTION("""COMPUTED_VALUE"""),6896.24)</f>
        <v>6896.24</v>
      </c>
      <c r="G86" s="76">
        <f>IFERROR(__xludf.DUMMYFUNCTION("""COMPUTED_VALUE"""),46021.66666666667)</f>
        <v>46021.66667</v>
      </c>
      <c r="H86" s="50">
        <f>IFERROR(__xludf.DUMMYFUNCTION("""COMPUTED_VALUE"""),299.58)</f>
        <v>299.58</v>
      </c>
    </row>
    <row r="87">
      <c r="A87" s="72">
        <f>IFERROR(__xludf.DUMMYFUNCTION("""COMPUTED_VALUE"""),46022.66666666667)</f>
        <v>46022.66667</v>
      </c>
      <c r="B87" s="58">
        <f>IFERROR(__xludf.DUMMYFUNCTION("""COMPUTED_VALUE"""),48063.29)</f>
        <v>48063.29</v>
      </c>
      <c r="C87" s="73">
        <f>IFERROR(__xludf.DUMMYFUNCTION("""COMPUTED_VALUE"""),46022.66666666667)</f>
        <v>46022.66667</v>
      </c>
      <c r="D87" s="50">
        <f>IFERROR(__xludf.DUMMYFUNCTION("""COMPUTED_VALUE"""),23241.99)</f>
        <v>23241.99</v>
      </c>
      <c r="E87" s="76">
        <f>IFERROR(__xludf.DUMMYFUNCTION("""COMPUTED_VALUE"""),46022.66666666667)</f>
        <v>46022.66667</v>
      </c>
      <c r="F87" s="50">
        <f>IFERROR(__xludf.DUMMYFUNCTION("""COMPUTED_VALUE"""),6845.5)</f>
        <v>6845.5</v>
      </c>
      <c r="G87" s="76">
        <f>IFERROR(__xludf.DUMMYFUNCTION("""COMPUTED_VALUE"""),46022.66666666667)</f>
        <v>46022.66667</v>
      </c>
      <c r="H87" s="50">
        <f>IFERROR(__xludf.DUMMYFUNCTION("""COMPUTED_VALUE"""),303.89)</f>
        <v>303.89</v>
      </c>
    </row>
    <row r="88">
      <c r="A88" s="72">
        <f>IFERROR(__xludf.DUMMYFUNCTION("""COMPUTED_VALUE"""),46024.66666666667)</f>
        <v>46024.66667</v>
      </c>
      <c r="B88" s="58">
        <f>IFERROR(__xludf.DUMMYFUNCTION("""COMPUTED_VALUE"""),48382.39)</f>
        <v>48382.39</v>
      </c>
      <c r="C88" s="73">
        <f>IFERROR(__xludf.DUMMYFUNCTION("""COMPUTED_VALUE"""),46024.66666666667)</f>
        <v>46024.66667</v>
      </c>
      <c r="D88" s="50">
        <f>IFERROR(__xludf.DUMMYFUNCTION("""COMPUTED_VALUE"""),23235.63)</f>
        <v>23235.63</v>
      </c>
      <c r="E88" s="76">
        <f>IFERROR(__xludf.DUMMYFUNCTION("""COMPUTED_VALUE"""),46024.66666666667)</f>
        <v>46024.66667</v>
      </c>
      <c r="F88" s="50">
        <f>IFERROR(__xludf.DUMMYFUNCTION("""COMPUTED_VALUE"""),6858.47)</f>
        <v>6858.47</v>
      </c>
      <c r="G88" s="76">
        <f>IFERROR(__xludf.DUMMYFUNCTION("""COMPUTED_VALUE"""),46024.66666666667)</f>
        <v>46024.66667</v>
      </c>
      <c r="H88" s="50">
        <f>IFERROR(__xludf.DUMMYFUNCTION("""COMPUTED_VALUE"""),319.61)</f>
        <v>319.61</v>
      </c>
    </row>
    <row r="89">
      <c r="A89" s="72">
        <f>IFERROR(__xludf.DUMMYFUNCTION("""COMPUTED_VALUE"""),46027.66666666667)</f>
        <v>46027.66667</v>
      </c>
      <c r="B89" s="58">
        <f>IFERROR(__xludf.DUMMYFUNCTION("""COMPUTED_VALUE"""),48977.18)</f>
        <v>48977.18</v>
      </c>
      <c r="C89" s="73">
        <f>IFERROR(__xludf.DUMMYFUNCTION("""COMPUTED_VALUE"""),46027.66666666667)</f>
        <v>46027.66667</v>
      </c>
      <c r="D89" s="50">
        <f>IFERROR(__xludf.DUMMYFUNCTION("""COMPUTED_VALUE"""),23395.82)</f>
        <v>23395.82</v>
      </c>
      <c r="E89" s="76">
        <f>IFERROR(__xludf.DUMMYFUNCTION("""COMPUTED_VALUE"""),46027.66666666667)</f>
        <v>46027.66667</v>
      </c>
      <c r="F89" s="50">
        <f>IFERROR(__xludf.DUMMYFUNCTION("""COMPUTED_VALUE"""),6902.05)</f>
        <v>6902.05</v>
      </c>
      <c r="G89" s="76">
        <f>IFERROR(__xludf.DUMMYFUNCTION("""COMPUTED_VALUE"""),46027.66666666667)</f>
        <v>46027.66667</v>
      </c>
      <c r="H89" s="50">
        <f>IFERROR(__xludf.DUMMYFUNCTION("""COMPUTED_VALUE"""),322.25)</f>
        <v>322.25</v>
      </c>
    </row>
    <row r="90">
      <c r="A90" s="72">
        <f>IFERROR(__xludf.DUMMYFUNCTION("""COMPUTED_VALUE"""),46028.66666666667)</f>
        <v>46028.66667</v>
      </c>
      <c r="B90" s="58">
        <f>IFERROR(__xludf.DUMMYFUNCTION("""COMPUTED_VALUE"""),49462.08)</f>
        <v>49462.08</v>
      </c>
      <c r="C90" s="73">
        <f>IFERROR(__xludf.DUMMYFUNCTION("""COMPUTED_VALUE"""),46028.66666666667)</f>
        <v>46028.66667</v>
      </c>
      <c r="D90" s="50">
        <f>IFERROR(__xludf.DUMMYFUNCTION("""COMPUTED_VALUE"""),23547.17)</f>
        <v>23547.17</v>
      </c>
      <c r="E90" s="76">
        <f>IFERROR(__xludf.DUMMYFUNCTION("""COMPUTED_VALUE"""),46028.66666666667)</f>
        <v>46028.66667</v>
      </c>
      <c r="F90" s="50">
        <f>IFERROR(__xludf.DUMMYFUNCTION("""COMPUTED_VALUE"""),6944.82)</f>
        <v>6944.82</v>
      </c>
      <c r="G90" s="76">
        <f>IFERROR(__xludf.DUMMYFUNCTION("""COMPUTED_VALUE"""),46028.66666666667)</f>
        <v>46028.66667</v>
      </c>
      <c r="H90" s="50">
        <f>IFERROR(__xludf.DUMMYFUNCTION("""COMPUTED_VALUE"""),327.43)</f>
        <v>327.43</v>
      </c>
    </row>
    <row r="91">
      <c r="A91" s="72">
        <f>IFERROR(__xludf.DUMMYFUNCTION("""COMPUTED_VALUE"""),46029.66666666667)</f>
        <v>46029.66667</v>
      </c>
      <c r="B91" s="58">
        <f>IFERROR(__xludf.DUMMYFUNCTION("""COMPUTED_VALUE"""),48996.08)</f>
        <v>48996.08</v>
      </c>
      <c r="C91" s="73">
        <f>IFERROR(__xludf.DUMMYFUNCTION("""COMPUTED_VALUE"""),46029.66666666667)</f>
        <v>46029.66667</v>
      </c>
      <c r="D91" s="50">
        <f>IFERROR(__xludf.DUMMYFUNCTION("""COMPUTED_VALUE"""),23584.28)</f>
        <v>23584.28</v>
      </c>
      <c r="E91" s="76">
        <f>IFERROR(__xludf.DUMMYFUNCTION("""COMPUTED_VALUE"""),46029.66666666667)</f>
        <v>46029.66667</v>
      </c>
      <c r="F91" s="50">
        <f>IFERROR(__xludf.DUMMYFUNCTION("""COMPUTED_VALUE"""),6920.93)</f>
        <v>6920.93</v>
      </c>
      <c r="G91" s="76">
        <f>IFERROR(__xludf.DUMMYFUNCTION("""COMPUTED_VALUE"""),46029.66666666667)</f>
        <v>46029.66667</v>
      </c>
      <c r="H91" s="50">
        <f>IFERROR(__xludf.DUMMYFUNCTION("""COMPUTED_VALUE"""),318.68)</f>
        <v>318.68</v>
      </c>
    </row>
    <row r="92">
      <c r="A92" s="72">
        <f>IFERROR(__xludf.DUMMYFUNCTION("""COMPUTED_VALUE"""),46030.66666666667)</f>
        <v>46030.66667</v>
      </c>
      <c r="B92" s="58">
        <f>IFERROR(__xludf.DUMMYFUNCTION("""COMPUTED_VALUE"""),49266.11)</f>
        <v>49266.11</v>
      </c>
      <c r="C92" s="73">
        <f>IFERROR(__xludf.DUMMYFUNCTION("""COMPUTED_VALUE"""),46030.66666666667)</f>
        <v>46030.66667</v>
      </c>
      <c r="D92" s="50">
        <f>IFERROR(__xludf.DUMMYFUNCTION("""COMPUTED_VALUE"""),23480.02)</f>
        <v>23480.02</v>
      </c>
      <c r="E92" s="76">
        <f>IFERROR(__xludf.DUMMYFUNCTION("""COMPUTED_VALUE"""),46030.66666666667)</f>
        <v>46030.66667</v>
      </c>
      <c r="F92" s="50">
        <f>IFERROR(__xludf.DUMMYFUNCTION("""COMPUTED_VALUE"""),6921.46)</f>
        <v>6921.46</v>
      </c>
      <c r="G92" s="76">
        <f>IFERROR(__xludf.DUMMYFUNCTION("""COMPUTED_VALUE"""),46030.66666666667)</f>
        <v>46030.66667</v>
      </c>
      <c r="H92" s="50">
        <f>IFERROR(__xludf.DUMMYFUNCTION("""COMPUTED_VALUE"""),318.01)</f>
        <v>318.01</v>
      </c>
    </row>
    <row r="93">
      <c r="A93" s="72">
        <f>IFERROR(__xludf.DUMMYFUNCTION("""COMPUTED_VALUE"""),46031.66666666667)</f>
        <v>46031.66667</v>
      </c>
      <c r="B93" s="58">
        <f>IFERROR(__xludf.DUMMYFUNCTION("""COMPUTED_VALUE"""),49504.07)</f>
        <v>49504.07</v>
      </c>
      <c r="C93" s="73">
        <f>IFERROR(__xludf.DUMMYFUNCTION("""COMPUTED_VALUE"""),46031.66666666667)</f>
        <v>46031.66667</v>
      </c>
      <c r="D93" s="50">
        <f>IFERROR(__xludf.DUMMYFUNCTION("""COMPUTED_VALUE"""),23671.35)</f>
        <v>23671.35</v>
      </c>
      <c r="E93" s="76">
        <f>IFERROR(__xludf.DUMMYFUNCTION("""COMPUTED_VALUE"""),46031.66666666667)</f>
        <v>46031.66667</v>
      </c>
      <c r="F93" s="50">
        <f>IFERROR(__xludf.DUMMYFUNCTION("""COMPUTED_VALUE"""),6966.28)</f>
        <v>6966.28</v>
      </c>
      <c r="G93" s="76">
        <f>IFERROR(__xludf.DUMMYFUNCTION("""COMPUTED_VALUE"""),46031.66666666667)</f>
        <v>46031.66667</v>
      </c>
      <c r="H93" s="50">
        <f>IFERROR(__xludf.DUMMYFUNCTION("""COMPUTED_VALUE"""),323.63)</f>
        <v>323.63</v>
      </c>
    </row>
    <row r="94">
      <c r="A94" s="72">
        <f>IFERROR(__xludf.DUMMYFUNCTION("""COMPUTED_VALUE"""),46034.66666666667)</f>
        <v>46034.66667</v>
      </c>
      <c r="B94" s="58">
        <f>IFERROR(__xludf.DUMMYFUNCTION("""COMPUTED_VALUE"""),49590.2)</f>
        <v>49590.2</v>
      </c>
      <c r="C94" s="73">
        <f>IFERROR(__xludf.DUMMYFUNCTION("""COMPUTED_VALUE"""),46034.66666666667)</f>
        <v>46034.66667</v>
      </c>
      <c r="D94" s="50">
        <f>IFERROR(__xludf.DUMMYFUNCTION("""COMPUTED_VALUE"""),23733.9)</f>
        <v>23733.9</v>
      </c>
      <c r="E94" s="76">
        <f>IFERROR(__xludf.DUMMYFUNCTION("""COMPUTED_VALUE"""),46034.66666666667)</f>
        <v>46034.66667</v>
      </c>
      <c r="F94" s="50">
        <f>IFERROR(__xludf.DUMMYFUNCTION("""COMPUTED_VALUE"""),6977.27)</f>
        <v>6977.27</v>
      </c>
      <c r="G94" s="76">
        <f>IFERROR(__xludf.DUMMYFUNCTION("""COMPUTED_VALUE"""),46034.66666666667)</f>
        <v>46034.66667</v>
      </c>
      <c r="H94" s="50">
        <f>IFERROR(__xludf.DUMMYFUNCTION("""COMPUTED_VALUE"""),331.77)</f>
        <v>331.77</v>
      </c>
    </row>
    <row r="95">
      <c r="A95" s="72">
        <f>IFERROR(__xludf.DUMMYFUNCTION("""COMPUTED_VALUE"""),46035.66666666667)</f>
        <v>46035.66667</v>
      </c>
      <c r="B95" s="58">
        <f>IFERROR(__xludf.DUMMYFUNCTION("""COMPUTED_VALUE"""),49191.99)</f>
        <v>49191.99</v>
      </c>
      <c r="C95" s="73">
        <f>IFERROR(__xludf.DUMMYFUNCTION("""COMPUTED_VALUE"""),46035.66666666667)</f>
        <v>46035.66667</v>
      </c>
      <c r="D95" s="50">
        <f>IFERROR(__xludf.DUMMYFUNCTION("""COMPUTED_VALUE"""),23709.87)</f>
        <v>23709.87</v>
      </c>
      <c r="E95" s="76">
        <f>IFERROR(__xludf.DUMMYFUNCTION("""COMPUTED_VALUE"""),46035.66666666667)</f>
        <v>46035.66667</v>
      </c>
      <c r="F95" s="50">
        <f>IFERROR(__xludf.DUMMYFUNCTION("""COMPUTED_VALUE"""),6963.74)</f>
        <v>6963.74</v>
      </c>
      <c r="G95" s="76">
        <f>IFERROR(__xludf.DUMMYFUNCTION("""COMPUTED_VALUE"""),46035.66666666667)</f>
        <v>46035.66667</v>
      </c>
      <c r="H95" s="50">
        <f>IFERROR(__xludf.DUMMYFUNCTION("""COMPUTED_VALUE"""),331.21)</f>
        <v>331.21</v>
      </c>
    </row>
    <row r="96">
      <c r="A96" s="72">
        <f>IFERROR(__xludf.DUMMYFUNCTION("""COMPUTED_VALUE"""),46036.66666666667)</f>
        <v>46036.66667</v>
      </c>
      <c r="B96" s="58">
        <f>IFERROR(__xludf.DUMMYFUNCTION("""COMPUTED_VALUE"""),49149.63)</f>
        <v>49149.63</v>
      </c>
      <c r="C96" s="73">
        <f>IFERROR(__xludf.DUMMYFUNCTION("""COMPUTED_VALUE"""),46036.66666666667)</f>
        <v>46036.66667</v>
      </c>
      <c r="D96" s="50">
        <f>IFERROR(__xludf.DUMMYFUNCTION("""COMPUTED_VALUE"""),23471.75)</f>
        <v>23471.75</v>
      </c>
      <c r="E96" s="76">
        <f>IFERROR(__xludf.DUMMYFUNCTION("""COMPUTED_VALUE"""),46036.66666666667)</f>
        <v>46036.66667</v>
      </c>
      <c r="F96" s="50">
        <f>IFERROR(__xludf.DUMMYFUNCTION("""COMPUTED_VALUE"""),6926.6)</f>
        <v>6926.6</v>
      </c>
      <c r="G96" s="76">
        <f>IFERROR(__xludf.DUMMYFUNCTION("""COMPUTED_VALUE"""),46036.66666666667)</f>
        <v>46036.66667</v>
      </c>
      <c r="H96" s="50">
        <f>IFERROR(__xludf.DUMMYFUNCTION("""COMPUTED_VALUE"""),327.11)</f>
        <v>327.11</v>
      </c>
    </row>
    <row r="97">
      <c r="A97" s="72">
        <f>IFERROR(__xludf.DUMMYFUNCTION("""COMPUTED_VALUE"""),46037.66666666667)</f>
        <v>46037.66667</v>
      </c>
      <c r="B97" s="58">
        <f>IFERROR(__xludf.DUMMYFUNCTION("""COMPUTED_VALUE"""),49442.44)</f>
        <v>49442.44</v>
      </c>
      <c r="C97" s="73">
        <f>IFERROR(__xludf.DUMMYFUNCTION("""COMPUTED_VALUE"""),46037.66666666667)</f>
        <v>46037.66667</v>
      </c>
      <c r="D97" s="50">
        <f>IFERROR(__xludf.DUMMYFUNCTION("""COMPUTED_VALUE"""),23530.02)</f>
        <v>23530.02</v>
      </c>
      <c r="E97" s="76">
        <f>IFERROR(__xludf.DUMMYFUNCTION("""COMPUTED_VALUE"""),46037.66666666667)</f>
        <v>46037.66667</v>
      </c>
      <c r="F97" s="50">
        <f>IFERROR(__xludf.DUMMYFUNCTION("""COMPUTED_VALUE"""),6944.47)</f>
        <v>6944.47</v>
      </c>
      <c r="G97" s="76">
        <f>IFERROR(__xludf.DUMMYFUNCTION("""COMPUTED_VALUE"""),46037.66666666667)</f>
        <v>46037.66667</v>
      </c>
      <c r="H97" s="50">
        <f>IFERROR(__xludf.DUMMYFUNCTION("""COMPUTED_VALUE"""),341.64)</f>
        <v>341.64</v>
      </c>
    </row>
    <row r="98">
      <c r="A98" s="72">
        <f>IFERROR(__xludf.DUMMYFUNCTION("""COMPUTED_VALUE"""),46038.66666666667)</f>
        <v>46038.66667</v>
      </c>
      <c r="B98" s="58">
        <f>IFERROR(__xludf.DUMMYFUNCTION("""COMPUTED_VALUE"""),49359.33)</f>
        <v>49359.33</v>
      </c>
      <c r="C98" s="73">
        <f>IFERROR(__xludf.DUMMYFUNCTION("""COMPUTED_VALUE"""),46038.66666666667)</f>
        <v>46038.66667</v>
      </c>
      <c r="D98" s="50">
        <f>IFERROR(__xludf.DUMMYFUNCTION("""COMPUTED_VALUE"""),23515.39)</f>
        <v>23515.39</v>
      </c>
      <c r="E98" s="76">
        <f>IFERROR(__xludf.DUMMYFUNCTION("""COMPUTED_VALUE"""),46038.66666666667)</f>
        <v>46038.66667</v>
      </c>
      <c r="F98" s="50">
        <f>IFERROR(__xludf.DUMMYFUNCTION("""COMPUTED_VALUE"""),6940.01)</f>
        <v>6940.01</v>
      </c>
      <c r="G98" s="76">
        <f>IFERROR(__xludf.DUMMYFUNCTION("""COMPUTED_VALUE"""),46038.66666666667)</f>
        <v>46038.66667</v>
      </c>
      <c r="H98" s="50">
        <f>IFERROR(__xludf.DUMMYFUNCTION("""COMPUTED_VALUE"""),342.4)</f>
        <v>342.4</v>
      </c>
    </row>
    <row r="99">
      <c r="A99" s="72">
        <f>IFERROR(__xludf.DUMMYFUNCTION("""COMPUTED_VALUE"""),46042.66666666667)</f>
        <v>46042.66667</v>
      </c>
      <c r="B99" s="58">
        <f>IFERROR(__xludf.DUMMYFUNCTION("""COMPUTED_VALUE"""),48488.59)</f>
        <v>48488.59</v>
      </c>
      <c r="C99" s="73">
        <f>IFERROR(__xludf.DUMMYFUNCTION("""COMPUTED_VALUE"""),46042.66666666667)</f>
        <v>46042.66667</v>
      </c>
      <c r="D99" s="50">
        <f>IFERROR(__xludf.DUMMYFUNCTION("""COMPUTED_VALUE"""),22954.32)</f>
        <v>22954.32</v>
      </c>
      <c r="E99" s="76">
        <f>IFERROR(__xludf.DUMMYFUNCTION("""COMPUTED_VALUE"""),46042.66666666667)</f>
        <v>46042.66667</v>
      </c>
      <c r="F99" s="50">
        <f>IFERROR(__xludf.DUMMYFUNCTION("""COMPUTED_VALUE"""),6796.86)</f>
        <v>6796.86</v>
      </c>
      <c r="G99" s="76">
        <f>IFERROR(__xludf.DUMMYFUNCTION("""COMPUTED_VALUE"""),46042.66666666667)</f>
        <v>46042.66667</v>
      </c>
      <c r="H99" s="50">
        <f>IFERROR(__xludf.DUMMYFUNCTION("""COMPUTED_VALUE"""),327.16)</f>
        <v>327.16</v>
      </c>
    </row>
    <row r="100">
      <c r="A100" s="72">
        <f>IFERROR(__xludf.DUMMYFUNCTION("""COMPUTED_VALUE"""),46043.66666666667)</f>
        <v>46043.66667</v>
      </c>
      <c r="B100" s="58">
        <f>IFERROR(__xludf.DUMMYFUNCTION("""COMPUTED_VALUE"""),49077.23)</f>
        <v>49077.23</v>
      </c>
      <c r="C100" s="73">
        <f>IFERROR(__xludf.DUMMYFUNCTION("""COMPUTED_VALUE"""),46043.66666666667)</f>
        <v>46043.66667</v>
      </c>
      <c r="D100" s="50">
        <f>IFERROR(__xludf.DUMMYFUNCTION("""COMPUTED_VALUE"""),23224.83)</f>
        <v>23224.83</v>
      </c>
      <c r="E100" s="76">
        <f>IFERROR(__xludf.DUMMYFUNCTION("""COMPUTED_VALUE"""),46043.66666666667)</f>
        <v>46043.66667</v>
      </c>
      <c r="F100" s="50">
        <f>IFERROR(__xludf.DUMMYFUNCTION("""COMPUTED_VALUE"""),6875.62)</f>
        <v>6875.62</v>
      </c>
      <c r="G100" s="76">
        <f>IFERROR(__xludf.DUMMYFUNCTION("""COMPUTED_VALUE"""),46043.66666666667)</f>
        <v>46043.66667</v>
      </c>
      <c r="H100" s="50">
        <f>IFERROR(__xludf.DUMMYFUNCTION("""COMPUTED_VALUE"""),326.12)</f>
        <v>326.12</v>
      </c>
    </row>
    <row r="101">
      <c r="A101" s="72">
        <f>IFERROR(__xludf.DUMMYFUNCTION("""COMPUTED_VALUE"""),46044.66666666667)</f>
        <v>46044.66667</v>
      </c>
      <c r="B101" s="58">
        <f>IFERROR(__xludf.DUMMYFUNCTION("""COMPUTED_VALUE"""),49384.01)</f>
        <v>49384.01</v>
      </c>
      <c r="C101" s="73">
        <f>IFERROR(__xludf.DUMMYFUNCTION("""COMPUTED_VALUE"""),46044.66666666667)</f>
        <v>46044.66667</v>
      </c>
      <c r="D101" s="50">
        <f>IFERROR(__xludf.DUMMYFUNCTION("""COMPUTED_VALUE"""),23436.02)</f>
        <v>23436.02</v>
      </c>
      <c r="E101" s="76">
        <f>IFERROR(__xludf.DUMMYFUNCTION("""COMPUTED_VALUE"""),46044.66666666667)</f>
        <v>46044.66667</v>
      </c>
      <c r="F101" s="50">
        <f>IFERROR(__xludf.DUMMYFUNCTION("""COMPUTED_VALUE"""),6913.35)</f>
        <v>6913.35</v>
      </c>
      <c r="G101" s="76">
        <f>IFERROR(__xludf.DUMMYFUNCTION("""COMPUTED_VALUE"""),46044.66666666667)</f>
        <v>46044.66667</v>
      </c>
      <c r="H101" s="50">
        <f>IFERROR(__xludf.DUMMYFUNCTION("""COMPUTED_VALUE"""),327.37)</f>
        <v>327.37</v>
      </c>
    </row>
    <row r="102">
      <c r="A102" s="72">
        <f>IFERROR(__xludf.DUMMYFUNCTION("""COMPUTED_VALUE"""),46045.66666666667)</f>
        <v>46045.66667</v>
      </c>
      <c r="B102" s="58">
        <f>IFERROR(__xludf.DUMMYFUNCTION("""COMPUTED_VALUE"""),49098.71)</f>
        <v>49098.71</v>
      </c>
      <c r="C102" s="73">
        <f>IFERROR(__xludf.DUMMYFUNCTION("""COMPUTED_VALUE"""),46045.66666666667)</f>
        <v>46045.66667</v>
      </c>
      <c r="D102" s="50">
        <f>IFERROR(__xludf.DUMMYFUNCTION("""COMPUTED_VALUE"""),23501.24)</f>
        <v>23501.24</v>
      </c>
      <c r="E102" s="76">
        <f>IFERROR(__xludf.DUMMYFUNCTION("""COMPUTED_VALUE"""),46045.66666666667)</f>
        <v>46045.66667</v>
      </c>
      <c r="F102" s="50">
        <f>IFERROR(__xludf.DUMMYFUNCTION("""COMPUTED_VALUE"""),6915.61)</f>
        <v>6915.61</v>
      </c>
      <c r="G102" s="76">
        <f>IFERROR(__xludf.DUMMYFUNCTION("""COMPUTED_VALUE"""),46045.66666666667)</f>
        <v>46045.66667</v>
      </c>
      <c r="H102" s="50">
        <f>IFERROR(__xludf.DUMMYFUNCTION("""COMPUTED_VALUE"""),334.87)</f>
        <v>334.87</v>
      </c>
    </row>
    <row r="103">
      <c r="A103" s="72">
        <f>IFERROR(__xludf.DUMMYFUNCTION("""COMPUTED_VALUE"""),46048.66666666667)</f>
        <v>46048.66667</v>
      </c>
      <c r="B103" s="58">
        <f>IFERROR(__xludf.DUMMYFUNCTION("""COMPUTED_VALUE"""),49412.4)</f>
        <v>49412.4</v>
      </c>
      <c r="C103" s="73">
        <f>IFERROR(__xludf.DUMMYFUNCTION("""COMPUTED_VALUE"""),46048.66666666667)</f>
        <v>46048.66667</v>
      </c>
      <c r="D103" s="50">
        <f>IFERROR(__xludf.DUMMYFUNCTION("""COMPUTED_VALUE"""),23601.36)</f>
        <v>23601.36</v>
      </c>
      <c r="E103" s="76">
        <f>IFERROR(__xludf.DUMMYFUNCTION("""COMPUTED_VALUE"""),46048.66666666667)</f>
        <v>46048.66667</v>
      </c>
      <c r="F103" s="50">
        <f>IFERROR(__xludf.DUMMYFUNCTION("""COMPUTED_VALUE"""),6950.23)</f>
        <v>6950.23</v>
      </c>
      <c r="G103" s="76">
        <f>IFERROR(__xludf.DUMMYFUNCTION("""COMPUTED_VALUE"""),46048.66666666667)</f>
        <v>46048.66667</v>
      </c>
      <c r="H103" s="50">
        <f>IFERROR(__xludf.DUMMYFUNCTION("""COMPUTED_VALUE"""),332.71)</f>
        <v>332.71</v>
      </c>
    </row>
    <row r="104">
      <c r="A104" s="72">
        <f>IFERROR(__xludf.DUMMYFUNCTION("""COMPUTED_VALUE"""),46049.66666666667)</f>
        <v>46049.66667</v>
      </c>
      <c r="B104" s="58">
        <f>IFERROR(__xludf.DUMMYFUNCTION("""COMPUTED_VALUE"""),49003.41)</f>
        <v>49003.41</v>
      </c>
      <c r="C104" s="73">
        <f>IFERROR(__xludf.DUMMYFUNCTION("""COMPUTED_VALUE"""),46049.66666666667)</f>
        <v>46049.66667</v>
      </c>
      <c r="D104" s="50">
        <f>IFERROR(__xludf.DUMMYFUNCTION("""COMPUTED_VALUE"""),23817.1)</f>
        <v>23817.1</v>
      </c>
      <c r="E104" s="76">
        <f>IFERROR(__xludf.DUMMYFUNCTION("""COMPUTED_VALUE"""),46049.66666666667)</f>
        <v>46049.66667</v>
      </c>
      <c r="F104" s="50">
        <f>IFERROR(__xludf.DUMMYFUNCTION("""COMPUTED_VALUE"""),6978.6)</f>
        <v>6978.6</v>
      </c>
      <c r="G104" s="76">
        <f>IFERROR(__xludf.DUMMYFUNCTION("""COMPUTED_VALUE"""),46049.66666666667)</f>
        <v>46049.66667</v>
      </c>
      <c r="H104" s="50">
        <f>IFERROR(__xludf.DUMMYFUNCTION("""COMPUTED_VALUE"""),338.34)</f>
        <v>338.34</v>
      </c>
    </row>
    <row r="105">
      <c r="A105" s="72">
        <f>IFERROR(__xludf.DUMMYFUNCTION("""COMPUTED_VALUE"""),46050.66666666667)</f>
        <v>46050.66667</v>
      </c>
      <c r="B105" s="58">
        <f>IFERROR(__xludf.DUMMYFUNCTION("""COMPUTED_VALUE"""),49015.6)</f>
        <v>49015.6</v>
      </c>
      <c r="C105" s="73">
        <f>IFERROR(__xludf.DUMMYFUNCTION("""COMPUTED_VALUE"""),46050.66666666667)</f>
        <v>46050.66667</v>
      </c>
      <c r="D105" s="50">
        <f>IFERROR(__xludf.DUMMYFUNCTION("""COMPUTED_VALUE"""),23857.45)</f>
        <v>23857.45</v>
      </c>
      <c r="E105" s="76">
        <f>IFERROR(__xludf.DUMMYFUNCTION("""COMPUTED_VALUE"""),46050.66666666667)</f>
        <v>46050.66667</v>
      </c>
      <c r="F105" s="50">
        <f>IFERROR(__xludf.DUMMYFUNCTION("""COMPUTED_VALUE"""),6978.03)</f>
        <v>6978.03</v>
      </c>
      <c r="G105" s="76">
        <f>IFERROR(__xludf.DUMMYFUNCTION("""COMPUTED_VALUE"""),46050.66666666667)</f>
        <v>46050.66667</v>
      </c>
      <c r="H105" s="50">
        <f>IFERROR(__xludf.DUMMYFUNCTION("""COMPUTED_VALUE"""),342.3)</f>
        <v>342.3</v>
      </c>
    </row>
    <row r="106">
      <c r="A106" s="72">
        <f>IFERROR(__xludf.DUMMYFUNCTION("""COMPUTED_VALUE"""),46051.66666666667)</f>
        <v>46051.66667</v>
      </c>
      <c r="B106" s="58">
        <f>IFERROR(__xludf.DUMMYFUNCTION("""COMPUTED_VALUE"""),49071.56)</f>
        <v>49071.56</v>
      </c>
      <c r="C106" s="73">
        <f>IFERROR(__xludf.DUMMYFUNCTION("""COMPUTED_VALUE"""),46051.66666666667)</f>
        <v>46051.66667</v>
      </c>
      <c r="D106" s="50">
        <f>IFERROR(__xludf.DUMMYFUNCTION("""COMPUTED_VALUE"""),23685.12)</f>
        <v>23685.12</v>
      </c>
      <c r="E106" s="76">
        <f>IFERROR(__xludf.DUMMYFUNCTION("""COMPUTED_VALUE"""),46051.66666666667)</f>
        <v>46051.66667</v>
      </c>
      <c r="F106" s="50">
        <f>IFERROR(__xludf.DUMMYFUNCTION("""COMPUTED_VALUE"""),6969.01)</f>
        <v>6969.01</v>
      </c>
      <c r="G106" s="76">
        <f>IFERROR(__xludf.DUMMYFUNCTION("""COMPUTED_VALUE"""),46051.66666666667)</f>
        <v>46051.66667</v>
      </c>
      <c r="H106" s="50">
        <f>IFERROR(__xludf.DUMMYFUNCTION("""COMPUTED_VALUE"""),339.55)</f>
        <v>339.55</v>
      </c>
    </row>
    <row r="107">
      <c r="A107" s="72">
        <f>IFERROR(__xludf.DUMMYFUNCTION("""COMPUTED_VALUE"""),46052.66666666667)</f>
        <v>46052.66667</v>
      </c>
      <c r="B107" s="58">
        <f>IFERROR(__xludf.DUMMYFUNCTION("""COMPUTED_VALUE"""),48892.47)</f>
        <v>48892.47</v>
      </c>
      <c r="C107" s="73">
        <f>IFERROR(__xludf.DUMMYFUNCTION("""COMPUTED_VALUE"""),46052.66666666667)</f>
        <v>46052.66667</v>
      </c>
      <c r="D107" s="50">
        <f>IFERROR(__xludf.DUMMYFUNCTION("""COMPUTED_VALUE"""),23461.82)</f>
        <v>23461.82</v>
      </c>
      <c r="E107" s="76">
        <f>IFERROR(__xludf.DUMMYFUNCTION("""COMPUTED_VALUE"""),46052.66666666667)</f>
        <v>46052.66667</v>
      </c>
      <c r="F107" s="50">
        <f>IFERROR(__xludf.DUMMYFUNCTION("""COMPUTED_VALUE"""),6939.03)</f>
        <v>6939.03</v>
      </c>
      <c r="G107" s="76">
        <f>IFERROR(__xludf.DUMMYFUNCTION("""COMPUTED_VALUE"""),46052.66666666667)</f>
        <v>46052.66667</v>
      </c>
      <c r="H107" s="50">
        <f>IFERROR(__xludf.DUMMYFUNCTION("""COMPUTED_VALUE"""),330.56)</f>
        <v>330.56</v>
      </c>
    </row>
    <row r="108">
      <c r="A108" s="72">
        <f>IFERROR(__xludf.DUMMYFUNCTION("""COMPUTED_VALUE"""),46055.66666666667)</f>
        <v>46055.66667</v>
      </c>
      <c r="B108" s="58">
        <f>IFERROR(__xludf.DUMMYFUNCTION("""COMPUTED_VALUE"""),49407.66)</f>
        <v>49407.66</v>
      </c>
      <c r="C108" s="73">
        <f>IFERROR(__xludf.DUMMYFUNCTION("""COMPUTED_VALUE"""),46055.66666666667)</f>
        <v>46055.66667</v>
      </c>
      <c r="D108" s="50">
        <f>IFERROR(__xludf.DUMMYFUNCTION("""COMPUTED_VALUE"""),23592.11)</f>
        <v>23592.11</v>
      </c>
      <c r="E108" s="76">
        <f>IFERROR(__xludf.DUMMYFUNCTION("""COMPUTED_VALUE"""),46055.66666666667)</f>
        <v>46055.66667</v>
      </c>
      <c r="F108" s="50">
        <f>IFERROR(__xludf.DUMMYFUNCTION("""COMPUTED_VALUE"""),6976.44)</f>
        <v>6976.44</v>
      </c>
      <c r="G108" s="76">
        <f>IFERROR(__xludf.DUMMYFUNCTION("""COMPUTED_VALUE"""),46055.66666666667)</f>
        <v>46055.66667</v>
      </c>
      <c r="H108" s="50">
        <f>IFERROR(__xludf.DUMMYFUNCTION("""COMPUTED_VALUE"""),341.36)</f>
        <v>341.36</v>
      </c>
    </row>
    <row r="109">
      <c r="A109" s="72">
        <f>IFERROR(__xludf.DUMMYFUNCTION("""COMPUTED_VALUE"""),46056.66666666667)</f>
        <v>46056.66667</v>
      </c>
      <c r="B109" s="58">
        <f>IFERROR(__xludf.DUMMYFUNCTION("""COMPUTED_VALUE"""),49240.99)</f>
        <v>49240.99</v>
      </c>
      <c r="C109" s="73">
        <f>IFERROR(__xludf.DUMMYFUNCTION("""COMPUTED_VALUE"""),46056.66666666667)</f>
        <v>46056.66667</v>
      </c>
      <c r="D109" s="50">
        <f>IFERROR(__xludf.DUMMYFUNCTION("""COMPUTED_VALUE"""),23255.19)</f>
        <v>23255.19</v>
      </c>
      <c r="E109" s="76">
        <f>IFERROR(__xludf.DUMMYFUNCTION("""COMPUTED_VALUE"""),46056.66666666667)</f>
        <v>46056.66667</v>
      </c>
      <c r="F109" s="50">
        <f>IFERROR(__xludf.DUMMYFUNCTION("""COMPUTED_VALUE"""),6917.81)</f>
        <v>6917.81</v>
      </c>
      <c r="G109" s="76">
        <f>IFERROR(__xludf.DUMMYFUNCTION("""COMPUTED_VALUE"""),46056.66666666667)</f>
        <v>46056.66667</v>
      </c>
      <c r="H109" s="50">
        <f>IFERROR(__xludf.DUMMYFUNCTION("""COMPUTED_VALUE"""),335.75)</f>
        <v>335.75</v>
      </c>
    </row>
    <row r="110">
      <c r="A110" s="72">
        <f>IFERROR(__xludf.DUMMYFUNCTION("""COMPUTED_VALUE"""),46057.66666666667)</f>
        <v>46057.66667</v>
      </c>
      <c r="B110" s="58">
        <f>IFERROR(__xludf.DUMMYFUNCTION("""COMPUTED_VALUE"""),49501.3)</f>
        <v>49501.3</v>
      </c>
      <c r="C110" s="73">
        <f>IFERROR(__xludf.DUMMYFUNCTION("""COMPUTED_VALUE"""),46057.66666666667)</f>
        <v>46057.66667</v>
      </c>
      <c r="D110" s="50">
        <f>IFERROR(__xludf.DUMMYFUNCTION("""COMPUTED_VALUE"""),22904.58)</f>
        <v>22904.58</v>
      </c>
      <c r="E110" s="76">
        <f>IFERROR(__xludf.DUMMYFUNCTION("""COMPUTED_VALUE"""),46057.66666666667)</f>
        <v>46057.66667</v>
      </c>
      <c r="F110" s="50">
        <f>IFERROR(__xludf.DUMMYFUNCTION("""COMPUTED_VALUE"""),6882.72)</f>
        <v>6882.72</v>
      </c>
      <c r="G110" s="76">
        <f>IFERROR(__xludf.DUMMYFUNCTION("""COMPUTED_VALUE"""),46057.66666666667)</f>
        <v>46057.66667</v>
      </c>
      <c r="H110" s="50">
        <f>IFERROR(__xludf.DUMMYFUNCTION("""COMPUTED_VALUE"""),325.74)</f>
        <v>325.74</v>
      </c>
    </row>
    <row r="111">
      <c r="A111" s="72">
        <f>IFERROR(__xludf.DUMMYFUNCTION("""COMPUTED_VALUE"""),46058.66666666667)</f>
        <v>46058.66667</v>
      </c>
      <c r="B111" s="58">
        <f>IFERROR(__xludf.DUMMYFUNCTION("""COMPUTED_VALUE"""),48908.72)</f>
        <v>48908.72</v>
      </c>
      <c r="C111" s="73">
        <f>IFERROR(__xludf.DUMMYFUNCTION("""COMPUTED_VALUE"""),46058.66666666667)</f>
        <v>46058.66667</v>
      </c>
      <c r="D111" s="50">
        <f>IFERROR(__xludf.DUMMYFUNCTION("""COMPUTED_VALUE"""),22540.59)</f>
        <v>22540.59</v>
      </c>
      <c r="E111" s="76">
        <f>IFERROR(__xludf.DUMMYFUNCTION("""COMPUTED_VALUE"""),46058.66666666667)</f>
        <v>46058.66667</v>
      </c>
      <c r="F111" s="50">
        <f>IFERROR(__xludf.DUMMYFUNCTION("""COMPUTED_VALUE"""),6798.4)</f>
        <v>6798.4</v>
      </c>
      <c r="G111" s="76">
        <f>IFERROR(__xludf.DUMMYFUNCTION("""COMPUTED_VALUE"""),46058.66666666667)</f>
        <v>46058.66667</v>
      </c>
      <c r="H111" s="50">
        <f>IFERROR(__xludf.DUMMYFUNCTION("""COMPUTED_VALUE"""),330.73)</f>
        <v>330.73</v>
      </c>
    </row>
    <row r="112">
      <c r="A112" s="72">
        <f>IFERROR(__xludf.DUMMYFUNCTION("""COMPUTED_VALUE"""),46059.66666666667)</f>
        <v>46059.66667</v>
      </c>
      <c r="B112" s="58">
        <f>IFERROR(__xludf.DUMMYFUNCTION("""COMPUTED_VALUE"""),50115.67)</f>
        <v>50115.67</v>
      </c>
      <c r="C112" s="73">
        <f>IFERROR(__xludf.DUMMYFUNCTION("""COMPUTED_VALUE"""),46059.66666666667)</f>
        <v>46059.66667</v>
      </c>
      <c r="D112" s="50">
        <f>IFERROR(__xludf.DUMMYFUNCTION("""COMPUTED_VALUE"""),23031.21)</f>
        <v>23031.21</v>
      </c>
      <c r="E112" s="76">
        <f>IFERROR(__xludf.DUMMYFUNCTION("""COMPUTED_VALUE"""),46059.66666666667)</f>
        <v>46059.66667</v>
      </c>
      <c r="F112" s="50">
        <f>IFERROR(__xludf.DUMMYFUNCTION("""COMPUTED_VALUE"""),6932.3)</f>
        <v>6932.3</v>
      </c>
      <c r="G112" s="76">
        <f>IFERROR(__xludf.DUMMYFUNCTION("""COMPUTED_VALUE"""),46059.66666666667)</f>
        <v>46059.66667</v>
      </c>
      <c r="H112" s="50">
        <f>IFERROR(__xludf.DUMMYFUNCTION("""COMPUTED_VALUE"""),348.85)</f>
        <v>348.85</v>
      </c>
    </row>
    <row r="113">
      <c r="A113" s="72">
        <f>IFERROR(__xludf.DUMMYFUNCTION("""COMPUTED_VALUE"""),46062.66666666667)</f>
        <v>46062.66667</v>
      </c>
      <c r="B113" s="58">
        <f>IFERROR(__xludf.DUMMYFUNCTION("""COMPUTED_VALUE"""),50135.87)</f>
        <v>50135.87</v>
      </c>
      <c r="C113" s="73">
        <f>IFERROR(__xludf.DUMMYFUNCTION("""COMPUTED_VALUE"""),46062.66666666667)</f>
        <v>46062.66667</v>
      </c>
      <c r="D113" s="50">
        <f>IFERROR(__xludf.DUMMYFUNCTION("""COMPUTED_VALUE"""),23238.67)</f>
        <v>23238.67</v>
      </c>
      <c r="E113" s="76">
        <f>IFERROR(__xludf.DUMMYFUNCTION("""COMPUTED_VALUE"""),46062.66666666667)</f>
        <v>46062.66667</v>
      </c>
      <c r="F113" s="50">
        <f>IFERROR(__xludf.DUMMYFUNCTION("""COMPUTED_VALUE"""),6964.82)</f>
        <v>6964.82</v>
      </c>
      <c r="G113" s="76">
        <f>IFERROR(__xludf.DUMMYFUNCTION("""COMPUTED_VALUE"""),46062.66666666667)</f>
        <v>46062.66667</v>
      </c>
      <c r="H113" s="50">
        <f>IFERROR(__xludf.DUMMYFUNCTION("""COMPUTED_VALUE"""),355.41)</f>
        <v>355.41</v>
      </c>
    </row>
    <row r="114">
      <c r="A114" s="72">
        <f>IFERROR(__xludf.DUMMYFUNCTION("""COMPUTED_VALUE"""),46063.66666666667)</f>
        <v>46063.66667</v>
      </c>
      <c r="B114" s="58">
        <f>IFERROR(__xludf.DUMMYFUNCTION("""COMPUTED_VALUE"""),50188.14)</f>
        <v>50188.14</v>
      </c>
      <c r="C114" s="73">
        <f>IFERROR(__xludf.DUMMYFUNCTION("""COMPUTED_VALUE"""),46063.66666666667)</f>
        <v>46063.66667</v>
      </c>
      <c r="D114" s="50">
        <f>IFERROR(__xludf.DUMMYFUNCTION("""COMPUTED_VALUE"""),23102.47)</f>
        <v>23102.47</v>
      </c>
      <c r="E114" s="76">
        <f>IFERROR(__xludf.DUMMYFUNCTION("""COMPUTED_VALUE"""),46063.66666666667)</f>
        <v>46063.66667</v>
      </c>
      <c r="F114" s="50">
        <f>IFERROR(__xludf.DUMMYFUNCTION("""COMPUTED_VALUE"""),6941.81)</f>
        <v>6941.81</v>
      </c>
      <c r="G114" s="76">
        <f>IFERROR(__xludf.DUMMYFUNCTION("""COMPUTED_VALUE"""),46063.66666666667)</f>
        <v>46063.66667</v>
      </c>
      <c r="H114" s="50">
        <f>IFERROR(__xludf.DUMMYFUNCTION("""COMPUTED_VALUE"""),361.91)</f>
        <v>361.91</v>
      </c>
    </row>
    <row r="115">
      <c r="A115" s="72">
        <f>IFERROR(__xludf.DUMMYFUNCTION("""COMPUTED_VALUE"""),46064.66666666667)</f>
        <v>46064.66667</v>
      </c>
      <c r="B115" s="58">
        <f>IFERROR(__xludf.DUMMYFUNCTION("""COMPUTED_VALUE"""),50121.4)</f>
        <v>50121.4</v>
      </c>
      <c r="C115" s="73">
        <f>IFERROR(__xludf.DUMMYFUNCTION("""COMPUTED_VALUE"""),46064.66666666667)</f>
        <v>46064.66667</v>
      </c>
      <c r="D115" s="50">
        <f>IFERROR(__xludf.DUMMYFUNCTION("""COMPUTED_VALUE"""),23066.47)</f>
        <v>23066.47</v>
      </c>
      <c r="E115" s="76">
        <f>IFERROR(__xludf.DUMMYFUNCTION("""COMPUTED_VALUE"""),46064.66666666667)</f>
        <v>46064.66667</v>
      </c>
      <c r="F115" s="50">
        <f>IFERROR(__xludf.DUMMYFUNCTION("""COMPUTED_VALUE"""),6941.47)</f>
        <v>6941.47</v>
      </c>
      <c r="G115" s="76">
        <f>IFERROR(__xludf.DUMMYFUNCTION("""COMPUTED_VALUE"""),46064.66666666667)</f>
        <v>46064.66667</v>
      </c>
      <c r="H115" s="50">
        <f>IFERROR(__xludf.DUMMYFUNCTION("""COMPUTED_VALUE"""),374.09)</f>
        <v>374.09</v>
      </c>
    </row>
    <row r="116">
      <c r="A116" s="72">
        <f>IFERROR(__xludf.DUMMYFUNCTION("""COMPUTED_VALUE"""),46065.66666666667)</f>
        <v>46065.66667</v>
      </c>
      <c r="B116" s="58">
        <f>IFERROR(__xludf.DUMMYFUNCTION("""COMPUTED_VALUE"""),49451.98)</f>
        <v>49451.98</v>
      </c>
      <c r="C116" s="73">
        <f>IFERROR(__xludf.DUMMYFUNCTION("""COMPUTED_VALUE"""),46065.66666666667)</f>
        <v>46065.66667</v>
      </c>
      <c r="D116" s="50">
        <f>IFERROR(__xludf.DUMMYFUNCTION("""COMPUTED_VALUE"""),22597.15)</f>
        <v>22597.15</v>
      </c>
      <c r="E116" s="76">
        <f>IFERROR(__xludf.DUMMYFUNCTION("""COMPUTED_VALUE"""),46065.66666666667)</f>
        <v>46065.66667</v>
      </c>
      <c r="F116" s="50">
        <f>IFERROR(__xludf.DUMMYFUNCTION("""COMPUTED_VALUE"""),6832.76)</f>
        <v>6832.76</v>
      </c>
      <c r="G116" s="76">
        <f>IFERROR(__xludf.DUMMYFUNCTION("""COMPUTED_VALUE"""),46065.66666666667)</f>
        <v>46065.66667</v>
      </c>
      <c r="H116" s="50">
        <f>IFERROR(__xludf.DUMMYFUNCTION("""COMPUTED_VALUE"""),368.1)</f>
        <v>368.1</v>
      </c>
    </row>
    <row r="117">
      <c r="A117" s="72">
        <f>IFERROR(__xludf.DUMMYFUNCTION("""COMPUTED_VALUE"""),46066.66666666667)</f>
        <v>46066.66667</v>
      </c>
      <c r="B117" s="58">
        <f>IFERROR(__xludf.DUMMYFUNCTION("""COMPUTED_VALUE"""),49500.93)</f>
        <v>49500.93</v>
      </c>
      <c r="C117" s="73">
        <f>IFERROR(__xludf.DUMMYFUNCTION("""COMPUTED_VALUE"""),46066.66666666667)</f>
        <v>46066.66667</v>
      </c>
      <c r="D117" s="50">
        <f>IFERROR(__xludf.DUMMYFUNCTION("""COMPUTED_VALUE"""),22546.67)</f>
        <v>22546.67</v>
      </c>
      <c r="E117" s="76">
        <f>IFERROR(__xludf.DUMMYFUNCTION("""COMPUTED_VALUE"""),46066.66666666667)</f>
        <v>46066.66667</v>
      </c>
      <c r="F117" s="50">
        <f>IFERROR(__xludf.DUMMYFUNCTION("""COMPUTED_VALUE"""),6836.17)</f>
        <v>6836.17</v>
      </c>
      <c r="G117" s="76">
        <f>IFERROR(__xludf.DUMMYFUNCTION("""COMPUTED_VALUE"""),46066.66666666667)</f>
        <v>46066.66667</v>
      </c>
      <c r="H117" s="50">
        <f>IFERROR(__xludf.DUMMYFUNCTION("""COMPUTED_VALUE"""),366.36)</f>
        <v>366.36</v>
      </c>
    </row>
    <row r="118">
      <c r="A118" s="72">
        <f>IFERROR(__xludf.DUMMYFUNCTION("""COMPUTED_VALUE"""),46070.66666666667)</f>
        <v>46070.66667</v>
      </c>
      <c r="B118" s="58">
        <f>IFERROR(__xludf.DUMMYFUNCTION("""COMPUTED_VALUE"""),49533.19)</f>
        <v>49533.19</v>
      </c>
      <c r="C118" s="73">
        <f>IFERROR(__xludf.DUMMYFUNCTION("""COMPUTED_VALUE"""),46070.66666666667)</f>
        <v>46070.66667</v>
      </c>
      <c r="D118" s="50">
        <f>IFERROR(__xludf.DUMMYFUNCTION("""COMPUTED_VALUE"""),22578.38)</f>
        <v>22578.38</v>
      </c>
      <c r="E118" s="76">
        <f>IFERROR(__xludf.DUMMYFUNCTION("""COMPUTED_VALUE"""),46070.66666666667)</f>
        <v>46070.66667</v>
      </c>
      <c r="F118" s="50">
        <f>IFERROR(__xludf.DUMMYFUNCTION("""COMPUTED_VALUE"""),6843.22)</f>
        <v>6843.22</v>
      </c>
      <c r="G118" s="76">
        <f>IFERROR(__xludf.DUMMYFUNCTION("""COMPUTED_VALUE"""),46070.66666666667)</f>
        <v>46070.66667</v>
      </c>
      <c r="H118" s="50">
        <f>IFERROR(__xludf.DUMMYFUNCTION("""COMPUTED_VALUE"""),364.2)</f>
        <v>364.2</v>
      </c>
    </row>
    <row r="119">
      <c r="A119" s="72">
        <f>IFERROR(__xludf.DUMMYFUNCTION("""COMPUTED_VALUE"""),46071.66666666667)</f>
        <v>46071.66667</v>
      </c>
      <c r="B119" s="58">
        <f>IFERROR(__xludf.DUMMYFUNCTION("""COMPUTED_VALUE"""),49662.66)</f>
        <v>49662.66</v>
      </c>
      <c r="C119" s="73">
        <f>IFERROR(__xludf.DUMMYFUNCTION("""COMPUTED_VALUE"""),46071.66666666667)</f>
        <v>46071.66667</v>
      </c>
      <c r="D119" s="50">
        <f>IFERROR(__xludf.DUMMYFUNCTION("""COMPUTED_VALUE"""),22753.64)</f>
        <v>22753.64</v>
      </c>
      <c r="E119" s="76">
        <f>IFERROR(__xludf.DUMMYFUNCTION("""COMPUTED_VALUE"""),46071.66666666667)</f>
        <v>46071.66667</v>
      </c>
      <c r="F119" s="50">
        <f>IFERROR(__xludf.DUMMYFUNCTION("""COMPUTED_VALUE"""),6881.31)</f>
        <v>6881.31</v>
      </c>
      <c r="G119" s="76">
        <f>IFERROR(__xludf.DUMMYFUNCTION("""COMPUTED_VALUE"""),46071.66666666667)</f>
        <v>46071.66667</v>
      </c>
      <c r="H119" s="50">
        <f>IFERROR(__xludf.DUMMYFUNCTION("""COMPUTED_VALUE"""),362.26)</f>
        <v>362.26</v>
      </c>
    </row>
    <row r="120">
      <c r="A120" s="72">
        <f>IFERROR(__xludf.DUMMYFUNCTION("""COMPUTED_VALUE"""),46072.66666666667)</f>
        <v>46072.66667</v>
      </c>
      <c r="B120" s="58">
        <f>IFERROR(__xludf.DUMMYFUNCTION("""COMPUTED_VALUE"""),49395.16)</f>
        <v>49395.16</v>
      </c>
      <c r="C120" s="73">
        <f>IFERROR(__xludf.DUMMYFUNCTION("""COMPUTED_VALUE"""),46072.66666666667)</f>
        <v>46072.66667</v>
      </c>
      <c r="D120" s="50">
        <f>IFERROR(__xludf.DUMMYFUNCTION("""COMPUTED_VALUE"""),22682.73)</f>
        <v>22682.73</v>
      </c>
      <c r="E120" s="76">
        <f>IFERROR(__xludf.DUMMYFUNCTION("""COMPUTED_VALUE"""),46072.66666666667)</f>
        <v>46072.66667</v>
      </c>
      <c r="F120" s="50">
        <f>IFERROR(__xludf.DUMMYFUNCTION("""COMPUTED_VALUE"""),6861.89)</f>
        <v>6861.89</v>
      </c>
      <c r="G120" s="76">
        <f>IFERROR(__xludf.DUMMYFUNCTION("""COMPUTED_VALUE"""),46072.66666666667)</f>
        <v>46072.66667</v>
      </c>
      <c r="H120" s="50">
        <f>IFERROR(__xludf.DUMMYFUNCTION("""COMPUTED_VALUE"""),360.39)</f>
        <v>360.39</v>
      </c>
    </row>
    <row r="121">
      <c r="A121" s="72">
        <f>IFERROR(__xludf.DUMMYFUNCTION("""COMPUTED_VALUE"""),46073.66666666667)</f>
        <v>46073.66667</v>
      </c>
      <c r="B121" s="58">
        <f>IFERROR(__xludf.DUMMYFUNCTION("""COMPUTED_VALUE"""),49625.97)</f>
        <v>49625.97</v>
      </c>
      <c r="C121" s="73">
        <f>IFERROR(__xludf.DUMMYFUNCTION("""COMPUTED_VALUE"""),46073.66666666667)</f>
        <v>46073.66667</v>
      </c>
      <c r="D121" s="50">
        <f>IFERROR(__xludf.DUMMYFUNCTION("""COMPUTED_VALUE"""),22886.07)</f>
        <v>22886.07</v>
      </c>
      <c r="E121" s="76">
        <f>IFERROR(__xludf.DUMMYFUNCTION("""COMPUTED_VALUE"""),46073.66666666667)</f>
        <v>46073.66667</v>
      </c>
      <c r="F121" s="50">
        <f>IFERROR(__xludf.DUMMYFUNCTION("""COMPUTED_VALUE"""),6909.51)</f>
        <v>6909.51</v>
      </c>
      <c r="G121" s="76">
        <f>IFERROR(__xludf.DUMMYFUNCTION("""COMPUTED_VALUE"""),46073.66666666667)</f>
        <v>46073.66667</v>
      </c>
      <c r="H121" s="50">
        <f>IFERROR(__xludf.DUMMYFUNCTION("""COMPUTED_VALUE"""),370.54)</f>
        <v>370.54</v>
      </c>
    </row>
    <row r="122">
      <c r="A122" s="72">
        <f>IFERROR(__xludf.DUMMYFUNCTION("""COMPUTED_VALUE"""),46076.66666666667)</f>
        <v>46076.66667</v>
      </c>
      <c r="B122" s="58">
        <f>IFERROR(__xludf.DUMMYFUNCTION("""COMPUTED_VALUE"""),48804.06)</f>
        <v>48804.06</v>
      </c>
      <c r="C122" s="73">
        <f>IFERROR(__xludf.DUMMYFUNCTION("""COMPUTED_VALUE"""),46076.66666666667)</f>
        <v>46076.66667</v>
      </c>
      <c r="D122" s="50">
        <f>IFERROR(__xludf.DUMMYFUNCTION("""COMPUTED_VALUE"""),22627.27)</f>
        <v>22627.27</v>
      </c>
      <c r="E122" s="76">
        <f>IFERROR(__xludf.DUMMYFUNCTION("""COMPUTED_VALUE"""),46076.66666666667)</f>
        <v>46076.66667</v>
      </c>
      <c r="F122" s="50">
        <f>IFERROR(__xludf.DUMMYFUNCTION("""COMPUTED_VALUE"""),6837.75)</f>
        <v>6837.75</v>
      </c>
      <c r="G122" s="76">
        <f>IFERROR(__xludf.DUMMYFUNCTION("""COMPUTED_VALUE"""),46076.66666666667)</f>
        <v>46076.66667</v>
      </c>
      <c r="H122" s="50">
        <f>IFERROR(__xludf.DUMMYFUNCTION("""COMPUTED_VALUE"""),370.04)</f>
        <v>370.04</v>
      </c>
    </row>
    <row r="123">
      <c r="A123" s="72">
        <f>IFERROR(__xludf.DUMMYFUNCTION("""COMPUTED_VALUE"""),46077.66666666667)</f>
        <v>46077.66667</v>
      </c>
      <c r="B123" s="58">
        <f>IFERROR(__xludf.DUMMYFUNCTION("""COMPUTED_VALUE"""),49174.5)</f>
        <v>49174.5</v>
      </c>
      <c r="C123" s="73">
        <f>IFERROR(__xludf.DUMMYFUNCTION("""COMPUTED_VALUE"""),46077.66666666667)</f>
        <v>46077.66667</v>
      </c>
      <c r="D123" s="50">
        <f>IFERROR(__xludf.DUMMYFUNCTION("""COMPUTED_VALUE"""),22863.68)</f>
        <v>22863.68</v>
      </c>
      <c r="E123" s="76">
        <f>IFERROR(__xludf.DUMMYFUNCTION("""COMPUTED_VALUE"""),46077.66666666667)</f>
        <v>46077.66667</v>
      </c>
      <c r="F123" s="50">
        <f>IFERROR(__xludf.DUMMYFUNCTION("""COMPUTED_VALUE"""),6890.07)</f>
        <v>6890.07</v>
      </c>
      <c r="G123" s="76">
        <f>IFERROR(__xludf.DUMMYFUNCTION("""COMPUTED_VALUE"""),46077.66666666667)</f>
        <v>46077.66667</v>
      </c>
      <c r="H123" s="50">
        <f>IFERROR(__xludf.DUMMYFUNCTION("""COMPUTED_VALUE"""),385.75)</f>
        <v>385.75</v>
      </c>
    </row>
    <row r="124">
      <c r="A124" s="72">
        <f>IFERROR(__xludf.DUMMYFUNCTION("""COMPUTED_VALUE"""),46078.66666666667)</f>
        <v>46078.66667</v>
      </c>
      <c r="B124" s="58">
        <f>IFERROR(__xludf.DUMMYFUNCTION("""COMPUTED_VALUE"""),49482.15)</f>
        <v>49482.15</v>
      </c>
      <c r="C124" s="73">
        <f>IFERROR(__xludf.DUMMYFUNCTION("""COMPUTED_VALUE"""),46078.66666666667)</f>
        <v>46078.66667</v>
      </c>
      <c r="D124" s="50">
        <f>IFERROR(__xludf.DUMMYFUNCTION("""COMPUTED_VALUE"""),23152.08)</f>
        <v>23152.08</v>
      </c>
      <c r="E124" s="76">
        <f>IFERROR(__xludf.DUMMYFUNCTION("""COMPUTED_VALUE"""),46078.66666666667)</f>
        <v>46078.66667</v>
      </c>
      <c r="F124" s="50">
        <f>IFERROR(__xludf.DUMMYFUNCTION("""COMPUTED_VALUE"""),6946.13)</f>
        <v>6946.13</v>
      </c>
      <c r="G124" s="76">
        <f>IFERROR(__xludf.DUMMYFUNCTION("""COMPUTED_VALUE"""),46078.66666666667)</f>
        <v>46078.66667</v>
      </c>
      <c r="H124" s="50">
        <f>IFERROR(__xludf.DUMMYFUNCTION("""COMPUTED_VALUE"""),387.73)</f>
        <v>387.73</v>
      </c>
    </row>
    <row r="125">
      <c r="A125" s="72">
        <f>IFERROR(__xludf.DUMMYFUNCTION("""COMPUTED_VALUE"""),46079.66666666667)</f>
        <v>46079.66667</v>
      </c>
      <c r="B125" s="58">
        <f>IFERROR(__xludf.DUMMYFUNCTION("""COMPUTED_VALUE"""),49499.2)</f>
        <v>49499.2</v>
      </c>
      <c r="C125" s="73">
        <f>IFERROR(__xludf.DUMMYFUNCTION("""COMPUTED_VALUE"""),46079.66666666667)</f>
        <v>46079.66667</v>
      </c>
      <c r="D125" s="50">
        <f>IFERROR(__xludf.DUMMYFUNCTION("""COMPUTED_VALUE"""),22878.38)</f>
        <v>22878.38</v>
      </c>
      <c r="E125" s="76">
        <f>IFERROR(__xludf.DUMMYFUNCTION("""COMPUTED_VALUE"""),46079.66666666667)</f>
        <v>46079.66667</v>
      </c>
      <c r="F125" s="50">
        <f>IFERROR(__xludf.DUMMYFUNCTION("""COMPUTED_VALUE"""),6908.86)</f>
        <v>6908.86</v>
      </c>
      <c r="G125" s="76">
        <f>IFERROR(__xludf.DUMMYFUNCTION("""COMPUTED_VALUE"""),46079.66666666667)</f>
        <v>46079.66667</v>
      </c>
      <c r="H125" s="50">
        <f>IFERROR(__xludf.DUMMYFUNCTION("""COMPUTED_VALUE"""),376.81)</f>
        <v>376.81</v>
      </c>
    </row>
    <row r="126">
      <c r="A126" s="72">
        <f>IFERROR(__xludf.DUMMYFUNCTION("""COMPUTED_VALUE"""),46080.66666666667)</f>
        <v>46080.66667</v>
      </c>
      <c r="B126" s="58">
        <f>IFERROR(__xludf.DUMMYFUNCTION("""COMPUTED_VALUE"""),48977.92)</f>
        <v>48977.92</v>
      </c>
      <c r="C126" s="73">
        <f>IFERROR(__xludf.DUMMYFUNCTION("""COMPUTED_VALUE"""),46080.66666666667)</f>
        <v>46080.66667</v>
      </c>
      <c r="D126" s="50">
        <f>IFERROR(__xludf.DUMMYFUNCTION("""COMPUTED_VALUE"""),22668.21)</f>
        <v>22668.21</v>
      </c>
      <c r="E126" s="76">
        <f>IFERROR(__xludf.DUMMYFUNCTION("""COMPUTED_VALUE"""),46080.66666666667)</f>
        <v>46080.66667</v>
      </c>
      <c r="F126" s="50">
        <f>IFERROR(__xludf.DUMMYFUNCTION("""COMPUTED_VALUE"""),6878.88)</f>
        <v>6878.88</v>
      </c>
      <c r="G126" s="76">
        <f>IFERROR(__xludf.DUMMYFUNCTION("""COMPUTED_VALUE"""),46080.66666666667)</f>
        <v>46080.66667</v>
      </c>
      <c r="H126" s="50">
        <f>IFERROR(__xludf.DUMMYFUNCTION("""COMPUTED_VALUE"""),374.58)</f>
        <v>374.58</v>
      </c>
    </row>
    <row r="127">
      <c r="A127" s="72">
        <f>IFERROR(__xludf.DUMMYFUNCTION("""COMPUTED_VALUE"""),46083.66666666667)</f>
        <v>46083.66667</v>
      </c>
      <c r="B127" s="58">
        <f>IFERROR(__xludf.DUMMYFUNCTION("""COMPUTED_VALUE"""),48904.78)</f>
        <v>48904.78</v>
      </c>
      <c r="C127" s="73">
        <f>IFERROR(__xludf.DUMMYFUNCTION("""COMPUTED_VALUE"""),46083.66666666667)</f>
        <v>46083.66667</v>
      </c>
      <c r="D127" s="50">
        <f>IFERROR(__xludf.DUMMYFUNCTION("""COMPUTED_VALUE"""),22748.86)</f>
        <v>22748.86</v>
      </c>
      <c r="E127" s="76">
        <f>IFERROR(__xludf.DUMMYFUNCTION("""COMPUTED_VALUE"""),46083.66666666667)</f>
        <v>46083.66667</v>
      </c>
      <c r="F127" s="50">
        <f>IFERROR(__xludf.DUMMYFUNCTION("""COMPUTED_VALUE"""),6881.62)</f>
        <v>6881.62</v>
      </c>
      <c r="G127" s="76">
        <f>IFERROR(__xludf.DUMMYFUNCTION("""COMPUTED_VALUE"""),46083.66666666667)</f>
        <v>46083.66667</v>
      </c>
      <c r="H127" s="50">
        <f>IFERROR(__xludf.DUMMYFUNCTION("""COMPUTED_VALUE"""),369.11)</f>
        <v>369.11</v>
      </c>
    </row>
    <row r="128">
      <c r="A128" s="72">
        <f>IFERROR(__xludf.DUMMYFUNCTION("""COMPUTED_VALUE"""),46084.66666666667)</f>
        <v>46084.66667</v>
      </c>
      <c r="B128" s="58">
        <f>IFERROR(__xludf.DUMMYFUNCTION("""COMPUTED_VALUE"""),48501.27)</f>
        <v>48501.27</v>
      </c>
      <c r="C128" s="73">
        <f>IFERROR(__xludf.DUMMYFUNCTION("""COMPUTED_VALUE"""),46084.66666666667)</f>
        <v>46084.66667</v>
      </c>
      <c r="D128" s="50">
        <f>IFERROR(__xludf.DUMMYFUNCTION("""COMPUTED_VALUE"""),22516.69)</f>
        <v>22516.69</v>
      </c>
      <c r="E128" s="76">
        <f>IFERROR(__xludf.DUMMYFUNCTION("""COMPUTED_VALUE"""),46084.66666666667)</f>
        <v>46084.66667</v>
      </c>
      <c r="F128" s="50">
        <f>IFERROR(__xludf.DUMMYFUNCTION("""COMPUTED_VALUE"""),6816.63)</f>
        <v>6816.63</v>
      </c>
      <c r="G128" s="76">
        <f>IFERROR(__xludf.DUMMYFUNCTION("""COMPUTED_VALUE"""),46084.66666666667)</f>
        <v>46084.66667</v>
      </c>
      <c r="H128" s="50">
        <f>IFERROR(__xludf.DUMMYFUNCTION("""COMPUTED_VALUE"""),353.13)</f>
        <v>353.13</v>
      </c>
    </row>
    <row r="129">
      <c r="A129" s="72">
        <f>IFERROR(__xludf.DUMMYFUNCTION("""COMPUTED_VALUE"""),46085.66666666667)</f>
        <v>46085.66667</v>
      </c>
      <c r="B129" s="58">
        <f>IFERROR(__xludf.DUMMYFUNCTION("""COMPUTED_VALUE"""),48739.41)</f>
        <v>48739.41</v>
      </c>
      <c r="C129" s="73">
        <f>IFERROR(__xludf.DUMMYFUNCTION("""COMPUTED_VALUE"""),46085.66666666667)</f>
        <v>46085.66667</v>
      </c>
      <c r="D129" s="50">
        <f>IFERROR(__xludf.DUMMYFUNCTION("""COMPUTED_VALUE"""),22807.48)</f>
        <v>22807.48</v>
      </c>
      <c r="E129" s="76">
        <f>IFERROR(__xludf.DUMMYFUNCTION("""COMPUTED_VALUE"""),46085.66666666667)</f>
        <v>46085.66667</v>
      </c>
      <c r="F129" s="50">
        <f>IFERROR(__xludf.DUMMYFUNCTION("""COMPUTED_VALUE"""),6869.5)</f>
        <v>6869.5</v>
      </c>
      <c r="G129" s="76">
        <f>IFERROR(__xludf.DUMMYFUNCTION("""COMPUTED_VALUE"""),46085.66666666667)</f>
        <v>46085.66667</v>
      </c>
      <c r="H129" s="50">
        <f>IFERROR(__xludf.DUMMYFUNCTION("""COMPUTED_VALUE"""),357.44)</f>
        <v>357.44</v>
      </c>
    </row>
    <row r="130">
      <c r="A130" s="72">
        <f>IFERROR(__xludf.DUMMYFUNCTION("""COMPUTED_VALUE"""),46086.66666666667)</f>
        <v>46086.66667</v>
      </c>
      <c r="B130" s="58">
        <f>IFERROR(__xludf.DUMMYFUNCTION("""COMPUTED_VALUE"""),47954.74)</f>
        <v>47954.74</v>
      </c>
      <c r="C130" s="73">
        <f>IFERROR(__xludf.DUMMYFUNCTION("""COMPUTED_VALUE"""),46086.66666666667)</f>
        <v>46086.66667</v>
      </c>
      <c r="D130" s="50">
        <f>IFERROR(__xludf.DUMMYFUNCTION("""COMPUTED_VALUE"""),22748.99)</f>
        <v>22748.99</v>
      </c>
      <c r="E130" s="76">
        <f>IFERROR(__xludf.DUMMYFUNCTION("""COMPUTED_VALUE"""),46086.66666666667)</f>
        <v>46086.66667</v>
      </c>
      <c r="F130" s="50">
        <f>IFERROR(__xludf.DUMMYFUNCTION("""COMPUTED_VALUE"""),6830.71)</f>
        <v>6830.71</v>
      </c>
      <c r="G130" s="76">
        <f>IFERROR(__xludf.DUMMYFUNCTION("""COMPUTED_VALUE"""),46086.66666666667)</f>
        <v>46086.66667</v>
      </c>
      <c r="H130" s="50">
        <f>IFERROR(__xludf.DUMMYFUNCTION("""COMPUTED_VALUE"""),353.86)</f>
        <v>353.86</v>
      </c>
    </row>
    <row r="131">
      <c r="A131" s="72">
        <f>IFERROR(__xludf.DUMMYFUNCTION("""COMPUTED_VALUE"""),46087.66666666667)</f>
        <v>46087.66667</v>
      </c>
      <c r="B131" s="58">
        <f>IFERROR(__xludf.DUMMYFUNCTION("""COMPUTED_VALUE"""),47501.55)</f>
        <v>47501.55</v>
      </c>
      <c r="C131" s="73">
        <f>IFERROR(__xludf.DUMMYFUNCTION("""COMPUTED_VALUE"""),46087.66666666667)</f>
        <v>46087.66667</v>
      </c>
      <c r="D131" s="50">
        <f>IFERROR(__xludf.DUMMYFUNCTION("""COMPUTED_VALUE"""),22387.68)</f>
        <v>22387.68</v>
      </c>
      <c r="E131" s="76">
        <f>IFERROR(__xludf.DUMMYFUNCTION("""COMPUTED_VALUE"""),46087.66666666667)</f>
        <v>46087.66667</v>
      </c>
      <c r="F131" s="50">
        <f>IFERROR(__xludf.DUMMYFUNCTION("""COMPUTED_VALUE"""),6740.02)</f>
        <v>6740.02</v>
      </c>
      <c r="G131" s="76">
        <f>IFERROR(__xludf.DUMMYFUNCTION("""COMPUTED_VALUE"""),46087.66666666667)</f>
        <v>46087.66667</v>
      </c>
      <c r="H131" s="50">
        <f>IFERROR(__xludf.DUMMYFUNCTION("""COMPUTED_VALUE"""),338.89)</f>
        <v>338.89</v>
      </c>
    </row>
    <row r="132">
      <c r="A132" s="72">
        <f>IFERROR(__xludf.DUMMYFUNCTION("""COMPUTED_VALUE"""),46090.66666666667)</f>
        <v>46090.66667</v>
      </c>
      <c r="B132" s="58">
        <f>IFERROR(__xludf.DUMMYFUNCTION("""COMPUTED_VALUE"""),47740.8)</f>
        <v>47740.8</v>
      </c>
      <c r="C132" s="73">
        <f>IFERROR(__xludf.DUMMYFUNCTION("""COMPUTED_VALUE"""),46090.66666666667)</f>
        <v>46090.66667</v>
      </c>
      <c r="D132" s="50">
        <f>IFERROR(__xludf.DUMMYFUNCTION("""COMPUTED_VALUE"""),22695.95)</f>
        <v>22695.95</v>
      </c>
      <c r="E132" s="76">
        <f>IFERROR(__xludf.DUMMYFUNCTION("""COMPUTED_VALUE"""),46090.66666666667)</f>
        <v>46090.66667</v>
      </c>
      <c r="F132" s="50">
        <f>IFERROR(__xludf.DUMMYFUNCTION("""COMPUTED_VALUE"""),6795.99)</f>
        <v>6795.99</v>
      </c>
      <c r="G132" s="76">
        <f>IFERROR(__xludf.DUMMYFUNCTION("""COMPUTED_VALUE"""),46090.66666666667)</f>
        <v>46090.66667</v>
      </c>
      <c r="H132" s="50">
        <f>IFERROR(__xludf.DUMMYFUNCTION("""COMPUTED_VALUE"""),348.7)</f>
        <v>348.7</v>
      </c>
    </row>
    <row r="133">
      <c r="A133" s="72">
        <f>IFERROR(__xludf.DUMMYFUNCTION("""COMPUTED_VALUE"""),46091.66666666667)</f>
        <v>46091.66667</v>
      </c>
      <c r="B133" s="58">
        <f>IFERROR(__xludf.DUMMYFUNCTION("""COMPUTED_VALUE"""),47706.51)</f>
        <v>47706.51</v>
      </c>
      <c r="C133" s="73">
        <f>IFERROR(__xludf.DUMMYFUNCTION("""COMPUTED_VALUE"""),46091.66666666667)</f>
        <v>46091.66667</v>
      </c>
      <c r="D133" s="50">
        <f>IFERROR(__xludf.DUMMYFUNCTION("""COMPUTED_VALUE"""),22697.1)</f>
        <v>22697.1</v>
      </c>
      <c r="E133" s="76">
        <f>IFERROR(__xludf.DUMMYFUNCTION("""COMPUTED_VALUE"""),46091.66666666667)</f>
        <v>46091.66667</v>
      </c>
      <c r="F133" s="50">
        <f>IFERROR(__xludf.DUMMYFUNCTION("""COMPUTED_VALUE"""),6781.48)</f>
        <v>6781.48</v>
      </c>
      <c r="G133" s="76">
        <f>IFERROR(__xludf.DUMMYFUNCTION("""COMPUTED_VALUE"""),46091.66666666667)</f>
        <v>46091.66667</v>
      </c>
      <c r="H133" s="50">
        <f>IFERROR(__xludf.DUMMYFUNCTION("""COMPUTED_VALUE"""),347.09)</f>
        <v>347.09</v>
      </c>
    </row>
    <row r="134">
      <c r="A134" s="72">
        <f>IFERROR(__xludf.DUMMYFUNCTION("""COMPUTED_VALUE"""),46092.66666666667)</f>
        <v>46092.66667</v>
      </c>
      <c r="B134" s="58">
        <f>IFERROR(__xludf.DUMMYFUNCTION("""COMPUTED_VALUE"""),47417.27)</f>
        <v>47417.27</v>
      </c>
      <c r="C134" s="73">
        <f>IFERROR(__xludf.DUMMYFUNCTION("""COMPUTED_VALUE"""),46092.66666666667)</f>
        <v>46092.66667</v>
      </c>
      <c r="D134" s="50">
        <f>IFERROR(__xludf.DUMMYFUNCTION("""COMPUTED_VALUE"""),22716.14)</f>
        <v>22716.14</v>
      </c>
      <c r="E134" s="76">
        <f>IFERROR(__xludf.DUMMYFUNCTION("""COMPUTED_VALUE"""),46092.66666666667)</f>
        <v>46092.66667</v>
      </c>
      <c r="F134" s="50">
        <f>IFERROR(__xludf.DUMMYFUNCTION("""COMPUTED_VALUE"""),6775.8)</f>
        <v>6775.8</v>
      </c>
      <c r="G134" s="76">
        <f>IFERROR(__xludf.DUMMYFUNCTION("""COMPUTED_VALUE"""),46092.66666666667)</f>
        <v>46092.66667</v>
      </c>
      <c r="H134" s="50">
        <f>IFERROR(__xludf.DUMMYFUNCTION("""COMPUTED_VALUE"""),354.56)</f>
        <v>354.56</v>
      </c>
    </row>
    <row r="135">
      <c r="A135" s="72">
        <f>IFERROR(__xludf.DUMMYFUNCTION("""COMPUTED_VALUE"""),46093.66666666667)</f>
        <v>46093.66667</v>
      </c>
      <c r="B135" s="58">
        <f>IFERROR(__xludf.DUMMYFUNCTION("""COMPUTED_VALUE"""),46677.85)</f>
        <v>46677.85</v>
      </c>
      <c r="C135" s="73">
        <f>IFERROR(__xludf.DUMMYFUNCTION("""COMPUTED_VALUE"""),46093.66666666667)</f>
        <v>46093.66667</v>
      </c>
      <c r="D135" s="50">
        <f>IFERROR(__xludf.DUMMYFUNCTION("""COMPUTED_VALUE"""),22311.98)</f>
        <v>22311.98</v>
      </c>
      <c r="E135" s="76">
        <f>IFERROR(__xludf.DUMMYFUNCTION("""COMPUTED_VALUE"""),46093.66666666667)</f>
        <v>46093.66667</v>
      </c>
      <c r="F135" s="50">
        <f>IFERROR(__xludf.DUMMYFUNCTION("""COMPUTED_VALUE"""),6672.62)</f>
        <v>6672.62</v>
      </c>
      <c r="G135" s="76">
        <f>IFERROR(__xludf.DUMMYFUNCTION("""COMPUTED_VALUE"""),46093.66666666667)</f>
        <v>46093.66667</v>
      </c>
      <c r="H135" s="50">
        <f>IFERROR(__xludf.DUMMYFUNCTION("""COMPUTED_VALUE"""),336.71)</f>
        <v>336.71</v>
      </c>
    </row>
    <row r="136">
      <c r="A136" s="72">
        <f>IFERROR(__xludf.DUMMYFUNCTION("""COMPUTED_VALUE"""),46094.66666666667)</f>
        <v>46094.66667</v>
      </c>
      <c r="B136" s="58">
        <f>IFERROR(__xludf.DUMMYFUNCTION("""COMPUTED_VALUE"""),46558.47)</f>
        <v>46558.47</v>
      </c>
      <c r="C136" s="73">
        <f>IFERROR(__xludf.DUMMYFUNCTION("""COMPUTED_VALUE"""),46094.66666666667)</f>
        <v>46094.66667</v>
      </c>
      <c r="D136" s="50">
        <f>IFERROR(__xludf.DUMMYFUNCTION("""COMPUTED_VALUE"""),22105.36)</f>
        <v>22105.36</v>
      </c>
      <c r="E136" s="76">
        <f>IFERROR(__xludf.DUMMYFUNCTION("""COMPUTED_VALUE"""),46094.66666666667)</f>
        <v>46094.66667</v>
      </c>
      <c r="F136" s="50">
        <f>IFERROR(__xludf.DUMMYFUNCTION("""COMPUTED_VALUE"""),6632.19)</f>
        <v>6632.19</v>
      </c>
      <c r="G136" s="76">
        <f>IFERROR(__xludf.DUMMYFUNCTION("""COMPUTED_VALUE"""),46094.66666666667)</f>
        <v>46094.66667</v>
      </c>
      <c r="H136" s="50">
        <f>IFERROR(__xludf.DUMMYFUNCTION("""COMPUTED_VALUE"""),338.31)</f>
        <v>338.31</v>
      </c>
    </row>
    <row r="137">
      <c r="A137" s="72">
        <f>IFERROR(__xludf.DUMMYFUNCTION("""COMPUTED_VALUE"""),46097.66666666667)</f>
        <v>46097.66667</v>
      </c>
      <c r="B137" s="58">
        <f>IFERROR(__xludf.DUMMYFUNCTION("""COMPUTED_VALUE"""),46946.41)</f>
        <v>46946.41</v>
      </c>
      <c r="C137" s="73">
        <f>IFERROR(__xludf.DUMMYFUNCTION("""COMPUTED_VALUE"""),46097.66666666667)</f>
        <v>46097.66667</v>
      </c>
      <c r="D137" s="50">
        <f>IFERROR(__xludf.DUMMYFUNCTION("""COMPUTED_VALUE"""),22374.18)</f>
        <v>22374.18</v>
      </c>
      <c r="E137" s="76">
        <f>IFERROR(__xludf.DUMMYFUNCTION("""COMPUTED_VALUE"""),46097.66666666667)</f>
        <v>46097.66667</v>
      </c>
      <c r="F137" s="50">
        <f>IFERROR(__xludf.DUMMYFUNCTION("""COMPUTED_VALUE"""),6699.38)</f>
        <v>6699.38</v>
      </c>
      <c r="G137" s="76">
        <f>IFERROR(__xludf.DUMMYFUNCTION("""COMPUTED_VALUE"""),46097.66666666667)</f>
        <v>46097.66667</v>
      </c>
      <c r="H137" s="50">
        <f>IFERROR(__xludf.DUMMYFUNCTION("""COMPUTED_VALUE"""),340.23)</f>
        <v>340.23</v>
      </c>
    </row>
    <row r="138">
      <c r="A138" s="72">
        <f>IFERROR(__xludf.DUMMYFUNCTION("""COMPUTED_VALUE"""),46098.66666666667)</f>
        <v>46098.66667</v>
      </c>
      <c r="B138" s="58">
        <f>IFERROR(__xludf.DUMMYFUNCTION("""COMPUTED_VALUE"""),46993.26)</f>
        <v>46993.26</v>
      </c>
      <c r="C138" s="73">
        <f>IFERROR(__xludf.DUMMYFUNCTION("""COMPUTED_VALUE"""),46098.66666666667)</f>
        <v>46098.66667</v>
      </c>
      <c r="D138" s="50">
        <f>IFERROR(__xludf.DUMMYFUNCTION("""COMPUTED_VALUE"""),22479.53)</f>
        <v>22479.53</v>
      </c>
      <c r="E138" s="76">
        <f>IFERROR(__xludf.DUMMYFUNCTION("""COMPUTED_VALUE"""),46098.66666666667)</f>
        <v>46098.66667</v>
      </c>
      <c r="F138" s="50">
        <f>IFERROR(__xludf.DUMMYFUNCTION("""COMPUTED_VALUE"""),6716.09)</f>
        <v>6716.09</v>
      </c>
      <c r="G138" s="76">
        <f>IFERROR(__xludf.DUMMYFUNCTION("""COMPUTED_VALUE"""),46098.66666666667)</f>
        <v>46098.66667</v>
      </c>
      <c r="H138" s="50">
        <f>IFERROR(__xludf.DUMMYFUNCTION("""COMPUTED_VALUE"""),345.98)</f>
        <v>345.98</v>
      </c>
    </row>
    <row r="139">
      <c r="A139" s="72">
        <f>IFERROR(__xludf.DUMMYFUNCTION("""COMPUTED_VALUE"""),46099.66666666667)</f>
        <v>46099.66667</v>
      </c>
      <c r="B139" s="58">
        <f>IFERROR(__xludf.DUMMYFUNCTION("""COMPUTED_VALUE"""),46225.15)</f>
        <v>46225.15</v>
      </c>
      <c r="C139" s="73">
        <f>IFERROR(__xludf.DUMMYFUNCTION("""COMPUTED_VALUE"""),46099.66666666667)</f>
        <v>46099.66667</v>
      </c>
      <c r="D139" s="50">
        <f>IFERROR(__xludf.DUMMYFUNCTION("""COMPUTED_VALUE"""),22152.42)</f>
        <v>22152.42</v>
      </c>
      <c r="E139" s="76">
        <f>IFERROR(__xludf.DUMMYFUNCTION("""COMPUTED_VALUE"""),46099.66666666667)</f>
        <v>46099.66667</v>
      </c>
      <c r="F139" s="50">
        <f>IFERROR(__xludf.DUMMYFUNCTION("""COMPUTED_VALUE"""),6624.7)</f>
        <v>6624.7</v>
      </c>
      <c r="G139" s="76">
        <f>IFERROR(__xludf.DUMMYFUNCTION("""COMPUTED_VALUE"""),46099.66666666667)</f>
        <v>46099.66667</v>
      </c>
      <c r="H139" s="50">
        <f>IFERROR(__xludf.DUMMYFUNCTION("""COMPUTED_VALUE"""),339.57)</f>
        <v>339.57</v>
      </c>
    </row>
    <row r="140">
      <c r="A140" s="72">
        <f>IFERROR(__xludf.DUMMYFUNCTION("""COMPUTED_VALUE"""),46100.66666666667)</f>
        <v>46100.66667</v>
      </c>
      <c r="B140" s="58">
        <f>IFERROR(__xludf.DUMMYFUNCTION("""COMPUTED_VALUE"""),46021.43)</f>
        <v>46021.43</v>
      </c>
      <c r="C140" s="73">
        <f>IFERROR(__xludf.DUMMYFUNCTION("""COMPUTED_VALUE"""),46100.66666666667)</f>
        <v>46100.66667</v>
      </c>
      <c r="D140" s="50">
        <f>IFERROR(__xludf.DUMMYFUNCTION("""COMPUTED_VALUE"""),22090.69)</f>
        <v>22090.69</v>
      </c>
      <c r="E140" s="76">
        <f>IFERROR(__xludf.DUMMYFUNCTION("""COMPUTED_VALUE"""),46100.66666666667)</f>
        <v>46100.66667</v>
      </c>
      <c r="F140" s="50">
        <f>IFERROR(__xludf.DUMMYFUNCTION("""COMPUTED_VALUE"""),6606.49)</f>
        <v>6606.49</v>
      </c>
      <c r="G140" s="76">
        <f>IFERROR(__xludf.DUMMYFUNCTION("""COMPUTED_VALUE"""),46100.66666666667)</f>
        <v>46100.66667</v>
      </c>
      <c r="H140" s="50">
        <f>IFERROR(__xludf.DUMMYFUNCTION("""COMPUTED_VALUE"""),338.79)</f>
        <v>338.79</v>
      </c>
    </row>
    <row r="141">
      <c r="A141" s="72">
        <f>IFERROR(__xludf.DUMMYFUNCTION("""COMPUTED_VALUE"""),46101.66666666667)</f>
        <v>46101.66667</v>
      </c>
      <c r="B141" s="58">
        <f>IFERROR(__xludf.DUMMYFUNCTION("""COMPUTED_VALUE"""),45577.47)</f>
        <v>45577.47</v>
      </c>
      <c r="C141" s="73">
        <f>IFERROR(__xludf.DUMMYFUNCTION("""COMPUTED_VALUE"""),46101.66666666667)</f>
        <v>46101.66667</v>
      </c>
      <c r="D141" s="50">
        <f>IFERROR(__xludf.DUMMYFUNCTION("""COMPUTED_VALUE"""),21647.61)</f>
        <v>21647.61</v>
      </c>
      <c r="E141" s="76">
        <f>IFERROR(__xludf.DUMMYFUNCTION("""COMPUTED_VALUE"""),46101.66666666667)</f>
        <v>46101.66667</v>
      </c>
      <c r="F141" s="50">
        <f>IFERROR(__xludf.DUMMYFUNCTION("""COMPUTED_VALUE"""),6506.48)</f>
        <v>6506.48</v>
      </c>
      <c r="G141" s="76">
        <f>IFERROR(__xludf.DUMMYFUNCTION("""COMPUTED_VALUE"""),46101.66666666667)</f>
        <v>46101.66667</v>
      </c>
      <c r="H141" s="50">
        <f>IFERROR(__xludf.DUMMYFUNCTION("""COMPUTED_VALUE"""),329.24)</f>
        <v>329.24</v>
      </c>
    </row>
    <row r="142">
      <c r="A142" s="72">
        <f>IFERROR(__xludf.DUMMYFUNCTION("""COMPUTED_VALUE"""),46104.66666666667)</f>
        <v>46104.66667</v>
      </c>
      <c r="B142" s="58">
        <f>IFERROR(__xludf.DUMMYFUNCTION("""COMPUTED_VALUE"""),46208.47)</f>
        <v>46208.47</v>
      </c>
      <c r="C142" s="73">
        <f>IFERROR(__xludf.DUMMYFUNCTION("""COMPUTED_VALUE"""),46104.66666666667)</f>
        <v>46104.66667</v>
      </c>
      <c r="D142" s="50">
        <f>IFERROR(__xludf.DUMMYFUNCTION("""COMPUTED_VALUE"""),21946.76)</f>
        <v>21946.76</v>
      </c>
      <c r="E142" s="76">
        <f>IFERROR(__xludf.DUMMYFUNCTION("""COMPUTED_VALUE"""),46104.66666666667)</f>
        <v>46104.66667</v>
      </c>
      <c r="F142" s="50">
        <f>IFERROR(__xludf.DUMMYFUNCTION("""COMPUTED_VALUE"""),6581.0)</f>
        <v>6581</v>
      </c>
      <c r="G142" s="76">
        <f>IFERROR(__xludf.DUMMYFUNCTION("""COMPUTED_VALUE"""),46104.66666666667)</f>
        <v>46104.66667</v>
      </c>
      <c r="H142" s="50">
        <f>IFERROR(__xludf.DUMMYFUNCTION("""COMPUTED_VALUE"""),338.45)</f>
        <v>338.45</v>
      </c>
    </row>
    <row r="143">
      <c r="A143" s="72">
        <f>IFERROR(__xludf.DUMMYFUNCTION("""COMPUTED_VALUE"""),46105.66666666667)</f>
        <v>46105.66667</v>
      </c>
      <c r="B143" s="58">
        <f>IFERROR(__xludf.DUMMYFUNCTION("""COMPUTED_VALUE"""),46124.06)</f>
        <v>46124.06</v>
      </c>
      <c r="C143" s="73">
        <f>IFERROR(__xludf.DUMMYFUNCTION("""COMPUTED_VALUE"""),46105.66666666667)</f>
        <v>46105.66667</v>
      </c>
      <c r="D143" s="50">
        <f>IFERROR(__xludf.DUMMYFUNCTION("""COMPUTED_VALUE"""),21761.89)</f>
        <v>21761.89</v>
      </c>
      <c r="E143" s="76">
        <f>IFERROR(__xludf.DUMMYFUNCTION("""COMPUTED_VALUE"""),46105.66666666667)</f>
        <v>46105.66667</v>
      </c>
      <c r="F143" s="50">
        <f>IFERROR(__xludf.DUMMYFUNCTION("""COMPUTED_VALUE"""),6556.37)</f>
        <v>6556.37</v>
      </c>
      <c r="G143" s="76">
        <f>IFERROR(__xludf.DUMMYFUNCTION("""COMPUTED_VALUE"""),46105.66666666667)</f>
        <v>46105.66667</v>
      </c>
      <c r="H143" s="50">
        <f>IFERROR(__xludf.DUMMYFUNCTION("""COMPUTED_VALUE"""),343.25)</f>
        <v>343.25</v>
      </c>
    </row>
    <row r="144">
      <c r="A144" s="72">
        <f>IFERROR(__xludf.DUMMYFUNCTION("""COMPUTED_VALUE"""),46106.66666666667)</f>
        <v>46106.66667</v>
      </c>
      <c r="B144" s="58">
        <f>IFERROR(__xludf.DUMMYFUNCTION("""COMPUTED_VALUE"""),46429.49)</f>
        <v>46429.49</v>
      </c>
      <c r="C144" s="73">
        <f>IFERROR(__xludf.DUMMYFUNCTION("""COMPUTED_VALUE"""),46106.66666666667)</f>
        <v>46106.66667</v>
      </c>
      <c r="D144" s="50">
        <f>IFERROR(__xludf.DUMMYFUNCTION("""COMPUTED_VALUE"""),21929.83)</f>
        <v>21929.83</v>
      </c>
      <c r="E144" s="76">
        <f>IFERROR(__xludf.DUMMYFUNCTION("""COMPUTED_VALUE"""),46106.66666666667)</f>
        <v>46106.66667</v>
      </c>
      <c r="F144" s="50">
        <f>IFERROR(__xludf.DUMMYFUNCTION("""COMPUTED_VALUE"""),6591.9)</f>
        <v>6591.9</v>
      </c>
      <c r="G144" s="76">
        <f>IFERROR(__xludf.DUMMYFUNCTION("""COMPUTED_VALUE"""),46106.66666666667)</f>
        <v>46106.66667</v>
      </c>
      <c r="H144" s="50">
        <f>IFERROR(__xludf.DUMMYFUNCTION("""COMPUTED_VALUE"""),347.75)</f>
        <v>347.75</v>
      </c>
    </row>
    <row r="145">
      <c r="A145" s="72">
        <f>IFERROR(__xludf.DUMMYFUNCTION("""COMPUTED_VALUE"""),46107.66666666667)</f>
        <v>46107.66667</v>
      </c>
      <c r="B145" s="58">
        <f>IFERROR(__xludf.DUMMYFUNCTION("""COMPUTED_VALUE"""),45960.11)</f>
        <v>45960.11</v>
      </c>
      <c r="C145" s="73">
        <f>IFERROR(__xludf.DUMMYFUNCTION("""COMPUTED_VALUE"""),46107.66666666667)</f>
        <v>46107.66667</v>
      </c>
      <c r="D145" s="50">
        <f>IFERROR(__xludf.DUMMYFUNCTION("""COMPUTED_VALUE"""),21408.08)</f>
        <v>21408.08</v>
      </c>
      <c r="E145" s="76">
        <f>IFERROR(__xludf.DUMMYFUNCTION("""COMPUTED_VALUE"""),46107.66666666667)</f>
        <v>46107.66667</v>
      </c>
      <c r="F145" s="50">
        <f>IFERROR(__xludf.DUMMYFUNCTION("""COMPUTED_VALUE"""),6477.16)</f>
        <v>6477.16</v>
      </c>
      <c r="G145" s="76">
        <f>IFERROR(__xludf.DUMMYFUNCTION("""COMPUTED_VALUE"""),46107.66666666667)</f>
        <v>46107.66667</v>
      </c>
      <c r="H145" s="50">
        <f>IFERROR(__xludf.DUMMYFUNCTION("""COMPUTED_VALUE"""),326.11)</f>
        <v>326.11</v>
      </c>
    </row>
    <row r="146">
      <c r="A146" s="72">
        <f>IFERROR(__xludf.DUMMYFUNCTION("""COMPUTED_VALUE"""),46108.66666666667)</f>
        <v>46108.66667</v>
      </c>
      <c r="B146" s="58">
        <f>IFERROR(__xludf.DUMMYFUNCTION("""COMPUTED_VALUE"""),45166.64)</f>
        <v>45166.64</v>
      </c>
      <c r="C146" s="73">
        <f>IFERROR(__xludf.DUMMYFUNCTION("""COMPUTED_VALUE"""),46108.66666666667)</f>
        <v>46108.66667</v>
      </c>
      <c r="D146" s="50">
        <f>IFERROR(__xludf.DUMMYFUNCTION("""COMPUTED_VALUE"""),20948.36)</f>
        <v>20948.36</v>
      </c>
      <c r="E146" s="76">
        <f>IFERROR(__xludf.DUMMYFUNCTION("""COMPUTED_VALUE"""),46108.66666666667)</f>
        <v>46108.66667</v>
      </c>
      <c r="F146" s="50">
        <f>IFERROR(__xludf.DUMMYFUNCTION("""COMPUTED_VALUE"""),6368.85)</f>
        <v>6368.85</v>
      </c>
      <c r="G146" s="76">
        <f>IFERROR(__xludf.DUMMYFUNCTION("""COMPUTED_VALUE"""),46108.66666666667)</f>
        <v>46108.66667</v>
      </c>
      <c r="H146" s="50">
        <f>IFERROR(__xludf.DUMMYFUNCTION("""COMPUTED_VALUE"""),326.74)</f>
        <v>326.74</v>
      </c>
    </row>
    <row r="147">
      <c r="A147" s="72">
        <f>IFERROR(__xludf.DUMMYFUNCTION("""COMPUTED_VALUE"""),46111.66666666667)</f>
        <v>46111.66667</v>
      </c>
      <c r="B147" s="58">
        <f>IFERROR(__xludf.DUMMYFUNCTION("""COMPUTED_VALUE"""),45216.14)</f>
        <v>45216.14</v>
      </c>
      <c r="C147" s="73">
        <f>IFERROR(__xludf.DUMMYFUNCTION("""COMPUTED_VALUE"""),46111.66666666667)</f>
        <v>46111.66667</v>
      </c>
      <c r="D147" s="50">
        <f>IFERROR(__xludf.DUMMYFUNCTION("""COMPUTED_VALUE"""),20794.64)</f>
        <v>20794.64</v>
      </c>
      <c r="E147" s="76">
        <f>IFERROR(__xludf.DUMMYFUNCTION("""COMPUTED_VALUE"""),46111.66666666667)</f>
        <v>46111.66667</v>
      </c>
      <c r="F147" s="50">
        <f>IFERROR(__xludf.DUMMYFUNCTION("""COMPUTED_VALUE"""),6343.72)</f>
        <v>6343.72</v>
      </c>
      <c r="G147" s="76">
        <f>IFERROR(__xludf.DUMMYFUNCTION("""COMPUTED_VALUE"""),46111.66666666667)</f>
        <v>46111.66667</v>
      </c>
      <c r="H147" s="50">
        <f>IFERROR(__xludf.DUMMYFUNCTION("""COMPUTED_VALUE"""),316.5)</f>
        <v>316.5</v>
      </c>
    </row>
    <row r="148">
      <c r="A148" s="72">
        <f>IFERROR(__xludf.DUMMYFUNCTION("""COMPUTED_VALUE"""),46112.66666666667)</f>
        <v>46112.66667</v>
      </c>
      <c r="B148" s="58">
        <f>IFERROR(__xludf.DUMMYFUNCTION("""COMPUTED_VALUE"""),46341.51)</f>
        <v>46341.51</v>
      </c>
      <c r="C148" s="73">
        <f>IFERROR(__xludf.DUMMYFUNCTION("""COMPUTED_VALUE"""),46112.66666666667)</f>
        <v>46112.66667</v>
      </c>
      <c r="D148" s="50">
        <f>IFERROR(__xludf.DUMMYFUNCTION("""COMPUTED_VALUE"""),21590.63)</f>
        <v>21590.63</v>
      </c>
      <c r="E148" s="76">
        <f>IFERROR(__xludf.DUMMYFUNCTION("""COMPUTED_VALUE"""),46112.66666666667)</f>
        <v>46112.66667</v>
      </c>
      <c r="F148" s="50">
        <f>IFERROR(__xludf.DUMMYFUNCTION("""COMPUTED_VALUE"""),6528.52)</f>
        <v>6528.52</v>
      </c>
      <c r="G148" s="76">
        <f>IFERROR(__xludf.DUMMYFUNCTION("""COMPUTED_VALUE"""),46112.66666666667)</f>
        <v>46112.66667</v>
      </c>
      <c r="H148" s="50">
        <f>IFERROR(__xludf.DUMMYFUNCTION("""COMPUTED_VALUE"""),337.95)</f>
        <v>337.95</v>
      </c>
    </row>
    <row r="149">
      <c r="A149" s="72">
        <f>IFERROR(__xludf.DUMMYFUNCTION("""COMPUTED_VALUE"""),46113.66666666667)</f>
        <v>46113.66667</v>
      </c>
      <c r="B149" s="58">
        <f>IFERROR(__xludf.DUMMYFUNCTION("""COMPUTED_VALUE"""),46565.74)</f>
        <v>46565.74</v>
      </c>
      <c r="C149" s="73">
        <f>IFERROR(__xludf.DUMMYFUNCTION("""COMPUTED_VALUE"""),46113.66666666667)</f>
        <v>46113.66667</v>
      </c>
      <c r="D149" s="50">
        <f>IFERROR(__xludf.DUMMYFUNCTION("""COMPUTED_VALUE"""),21840.95)</f>
        <v>21840.95</v>
      </c>
      <c r="E149" s="76">
        <f>IFERROR(__xludf.DUMMYFUNCTION("""COMPUTED_VALUE"""),46113.66666666667)</f>
        <v>46113.66667</v>
      </c>
      <c r="F149" s="50">
        <f>IFERROR(__xludf.DUMMYFUNCTION("""COMPUTED_VALUE"""),6575.32)</f>
        <v>6575.32</v>
      </c>
      <c r="G149" s="76">
        <f>IFERROR(__xludf.DUMMYFUNCTION("""COMPUTED_VALUE"""),46113.66666666667)</f>
        <v>46113.66667</v>
      </c>
      <c r="H149" s="50">
        <f>IFERROR(__xludf.DUMMYFUNCTION("""COMPUTED_VALUE"""),341.49)</f>
        <v>341.49</v>
      </c>
    </row>
    <row r="150">
      <c r="A150" s="72">
        <f>IFERROR(__xludf.DUMMYFUNCTION("""COMPUTED_VALUE"""),46114.66666666667)</f>
        <v>46114.66667</v>
      </c>
      <c r="B150" s="58">
        <f>IFERROR(__xludf.DUMMYFUNCTION("""COMPUTED_VALUE"""),46504.67)</f>
        <v>46504.67</v>
      </c>
      <c r="C150" s="73">
        <f>IFERROR(__xludf.DUMMYFUNCTION("""COMPUTED_VALUE"""),46114.66666666667)</f>
        <v>46114.66667</v>
      </c>
      <c r="D150" s="50">
        <f>IFERROR(__xludf.DUMMYFUNCTION("""COMPUTED_VALUE"""),21879.18)</f>
        <v>21879.18</v>
      </c>
      <c r="E150" s="76">
        <f>IFERROR(__xludf.DUMMYFUNCTION("""COMPUTED_VALUE"""),46114.66666666667)</f>
        <v>46114.66667</v>
      </c>
      <c r="F150" s="50">
        <f>IFERROR(__xludf.DUMMYFUNCTION("""COMPUTED_VALUE"""),6582.69)</f>
        <v>6582.69</v>
      </c>
      <c r="G150" s="76">
        <f>IFERROR(__xludf.DUMMYFUNCTION("""COMPUTED_VALUE"""),46114.66666666667)</f>
        <v>46114.66667</v>
      </c>
      <c r="H150" s="50">
        <f>IFERROR(__xludf.DUMMYFUNCTION("""COMPUTED_VALUE"""),339.04)</f>
        <v>339.04</v>
      </c>
    </row>
    <row r="151">
      <c r="A151" s="72">
        <f>IFERROR(__xludf.DUMMYFUNCTION("""COMPUTED_VALUE"""),46118.66666666667)</f>
        <v>46118.66667</v>
      </c>
      <c r="B151" s="58">
        <f>IFERROR(__xludf.DUMMYFUNCTION("""COMPUTED_VALUE"""),46669.88)</f>
        <v>46669.88</v>
      </c>
      <c r="C151" s="73">
        <f>IFERROR(__xludf.DUMMYFUNCTION("""COMPUTED_VALUE"""),46118.66666666667)</f>
        <v>46118.66667</v>
      </c>
      <c r="D151" s="50">
        <f>IFERROR(__xludf.DUMMYFUNCTION("""COMPUTED_VALUE"""),21996.34)</f>
        <v>21996.34</v>
      </c>
      <c r="E151" s="76">
        <f>IFERROR(__xludf.DUMMYFUNCTION("""COMPUTED_VALUE"""),46118.66666666667)</f>
        <v>46118.66667</v>
      </c>
      <c r="F151" s="50">
        <f>IFERROR(__xludf.DUMMYFUNCTION("""COMPUTED_VALUE"""),6611.83)</f>
        <v>6611.83</v>
      </c>
      <c r="G151" s="76">
        <f>IFERROR(__xludf.DUMMYFUNCTION("""COMPUTED_VALUE"""),46118.66666666667)</f>
        <v>46118.66667</v>
      </c>
      <c r="H151" s="50">
        <f>IFERROR(__xludf.DUMMYFUNCTION("""COMPUTED_VALUE"""),341.76)</f>
        <v>341.76</v>
      </c>
    </row>
    <row r="152">
      <c r="A152" s="72">
        <f>IFERROR(__xludf.DUMMYFUNCTION("""COMPUTED_VALUE"""),46119.66666666667)</f>
        <v>46119.66667</v>
      </c>
      <c r="B152" s="58">
        <f>IFERROR(__xludf.DUMMYFUNCTION("""COMPUTED_VALUE"""),46584.46)</f>
        <v>46584.46</v>
      </c>
      <c r="C152" s="73">
        <f>IFERROR(__xludf.DUMMYFUNCTION("""COMPUTED_VALUE"""),46119.66666666667)</f>
        <v>46119.66667</v>
      </c>
      <c r="D152" s="50">
        <f>IFERROR(__xludf.DUMMYFUNCTION("""COMPUTED_VALUE"""),22017.85)</f>
        <v>22017.85</v>
      </c>
      <c r="E152" s="76">
        <f>IFERROR(__xludf.DUMMYFUNCTION("""COMPUTED_VALUE"""),46119.66666666667)</f>
        <v>46119.66667</v>
      </c>
      <c r="F152" s="50">
        <f>IFERROR(__xludf.DUMMYFUNCTION("""COMPUTED_VALUE"""),6616.85)</f>
        <v>6616.85</v>
      </c>
      <c r="G152" s="76">
        <f>IFERROR(__xludf.DUMMYFUNCTION("""COMPUTED_VALUE"""),46119.66666666667)</f>
        <v>46119.66667</v>
      </c>
      <c r="H152" s="50">
        <f>IFERROR(__xludf.DUMMYFUNCTION("""COMPUTED_VALUE"""),345.32)</f>
        <v>345.32</v>
      </c>
    </row>
    <row r="153">
      <c r="A153" s="72">
        <f>IFERROR(__xludf.DUMMYFUNCTION("""COMPUTED_VALUE"""),46120.66666666667)</f>
        <v>46120.66667</v>
      </c>
      <c r="B153" s="58">
        <f>IFERROR(__xludf.DUMMYFUNCTION("""COMPUTED_VALUE"""),47909.92)</f>
        <v>47909.92</v>
      </c>
      <c r="C153" s="73">
        <f>IFERROR(__xludf.DUMMYFUNCTION("""COMPUTED_VALUE"""),46120.66666666667)</f>
        <v>46120.66667</v>
      </c>
      <c r="D153" s="50">
        <f>IFERROR(__xludf.DUMMYFUNCTION("""COMPUTED_VALUE"""),22635.0)</f>
        <v>22635</v>
      </c>
      <c r="E153" s="76">
        <f>IFERROR(__xludf.DUMMYFUNCTION("""COMPUTED_VALUE"""),46120.66666666667)</f>
        <v>46120.66667</v>
      </c>
      <c r="F153" s="50">
        <f>IFERROR(__xludf.DUMMYFUNCTION("""COMPUTED_VALUE"""),6782.81)</f>
        <v>6782.81</v>
      </c>
      <c r="G153" s="76">
        <f>IFERROR(__xludf.DUMMYFUNCTION("""COMPUTED_VALUE"""),46120.66666666667)</f>
        <v>46120.66667</v>
      </c>
      <c r="H153" s="50">
        <f>IFERROR(__xludf.DUMMYFUNCTION("""COMPUTED_VALUE"""),365.9)</f>
        <v>365.9</v>
      </c>
    </row>
    <row r="154">
      <c r="A154" s="72">
        <f>IFERROR(__xludf.DUMMYFUNCTION("""COMPUTED_VALUE"""),46121.66666666667)</f>
        <v>46121.66667</v>
      </c>
      <c r="B154" s="58">
        <f>IFERROR(__xludf.DUMMYFUNCTION("""COMPUTED_VALUE"""),48185.8)</f>
        <v>48185.8</v>
      </c>
      <c r="C154" s="73">
        <f>IFERROR(__xludf.DUMMYFUNCTION("""COMPUTED_VALUE"""),46121.66666666667)</f>
        <v>46121.66667</v>
      </c>
      <c r="D154" s="50">
        <f>IFERROR(__xludf.DUMMYFUNCTION("""COMPUTED_VALUE"""),22822.42)</f>
        <v>22822.42</v>
      </c>
      <c r="E154" s="76">
        <f>IFERROR(__xludf.DUMMYFUNCTION("""COMPUTED_VALUE"""),46121.66666666667)</f>
        <v>46121.66667</v>
      </c>
      <c r="F154" s="50">
        <f>IFERROR(__xludf.DUMMYFUNCTION("""COMPUTED_VALUE"""),6824.66)</f>
        <v>6824.66</v>
      </c>
      <c r="G154" s="76">
        <f>IFERROR(__xludf.DUMMYFUNCTION("""COMPUTED_VALUE"""),46121.66666666667)</f>
        <v>46121.66667</v>
      </c>
      <c r="H154" s="50">
        <f>IFERROR(__xludf.DUMMYFUNCTION("""COMPUTED_VALUE"""),365.49)</f>
        <v>365.49</v>
      </c>
    </row>
    <row r="155">
      <c r="A155" s="72">
        <f>IFERROR(__xludf.DUMMYFUNCTION("""COMPUTED_VALUE"""),46122.66666666667)</f>
        <v>46122.66667</v>
      </c>
      <c r="B155" s="58">
        <f>IFERROR(__xludf.DUMMYFUNCTION("""COMPUTED_VALUE"""),47916.57)</f>
        <v>47916.57</v>
      </c>
      <c r="C155" s="73">
        <f>IFERROR(__xludf.DUMMYFUNCTION("""COMPUTED_VALUE"""),46122.66666666667)</f>
        <v>46122.66667</v>
      </c>
      <c r="D155" s="50">
        <f>IFERROR(__xludf.DUMMYFUNCTION("""COMPUTED_VALUE"""),22902.89)</f>
        <v>22902.89</v>
      </c>
      <c r="E155" s="76">
        <f>IFERROR(__xludf.DUMMYFUNCTION("""COMPUTED_VALUE"""),46122.66666666667)</f>
        <v>46122.66667</v>
      </c>
      <c r="F155" s="50">
        <f>IFERROR(__xludf.DUMMYFUNCTION("""COMPUTED_VALUE"""),6816.89)</f>
        <v>6816.89</v>
      </c>
      <c r="G155" s="76">
        <f>IFERROR(__xludf.DUMMYFUNCTION("""COMPUTED_VALUE"""),46122.66666666667)</f>
        <v>46122.66667</v>
      </c>
      <c r="H155" s="50">
        <f>IFERROR(__xludf.DUMMYFUNCTION("""COMPUTED_VALUE"""),370.6)</f>
        <v>370.6</v>
      </c>
    </row>
    <row r="156">
      <c r="A156" s="72">
        <f>IFERROR(__xludf.DUMMYFUNCTION("""COMPUTED_VALUE"""),46125.66666666667)</f>
        <v>46125.66667</v>
      </c>
      <c r="B156" s="58">
        <f>IFERROR(__xludf.DUMMYFUNCTION("""COMPUTED_VALUE"""),48218.25)</f>
        <v>48218.25</v>
      </c>
      <c r="C156" s="73">
        <f>IFERROR(__xludf.DUMMYFUNCTION("""COMPUTED_VALUE"""),46125.66666666667)</f>
        <v>46125.66667</v>
      </c>
      <c r="D156" s="50">
        <f>IFERROR(__xludf.DUMMYFUNCTION("""COMPUTED_VALUE"""),23183.74)</f>
        <v>23183.74</v>
      </c>
      <c r="E156" s="76">
        <f>IFERROR(__xludf.DUMMYFUNCTION("""COMPUTED_VALUE"""),46125.66666666667)</f>
        <v>46125.66667</v>
      </c>
      <c r="F156" s="50">
        <f>IFERROR(__xludf.DUMMYFUNCTION("""COMPUTED_VALUE"""),6886.24)</f>
        <v>6886.24</v>
      </c>
      <c r="G156" s="76">
        <f>IFERROR(__xludf.DUMMYFUNCTION("""COMPUTED_VALUE"""),46125.66666666667)</f>
        <v>46125.66667</v>
      </c>
      <c r="H156" s="50">
        <f>IFERROR(__xludf.DUMMYFUNCTION("""COMPUTED_VALUE"""),369.57)</f>
        <v>369.57</v>
      </c>
    </row>
    <row r="157">
      <c r="A157" s="72">
        <f>IFERROR(__xludf.DUMMYFUNCTION("""COMPUTED_VALUE"""),46126.66666666667)</f>
        <v>46126.66667</v>
      </c>
      <c r="B157" s="58">
        <f>IFERROR(__xludf.DUMMYFUNCTION("""COMPUTED_VALUE"""),48535.99)</f>
        <v>48535.99</v>
      </c>
      <c r="C157" s="73">
        <f>IFERROR(__xludf.DUMMYFUNCTION("""COMPUTED_VALUE"""),46126.66666666667)</f>
        <v>46126.66667</v>
      </c>
      <c r="D157" s="50">
        <f>IFERROR(__xludf.DUMMYFUNCTION("""COMPUTED_VALUE"""),23639.08)</f>
        <v>23639.08</v>
      </c>
      <c r="E157" s="76">
        <f>IFERROR(__xludf.DUMMYFUNCTION("""COMPUTED_VALUE"""),46126.66666666667)</f>
        <v>46126.66667</v>
      </c>
      <c r="F157" s="50">
        <f>IFERROR(__xludf.DUMMYFUNCTION("""COMPUTED_VALUE"""),6967.38)</f>
        <v>6967.38</v>
      </c>
      <c r="G157" s="76">
        <f>IFERROR(__xludf.DUMMYFUNCTION("""COMPUTED_VALUE"""),46126.66666666667)</f>
        <v>46126.66667</v>
      </c>
      <c r="H157" s="50">
        <f>IFERROR(__xludf.DUMMYFUNCTION("""COMPUTED_VALUE"""),379.89)</f>
        <v>379.89</v>
      </c>
    </row>
    <row r="158">
      <c r="A158" s="72">
        <f>IFERROR(__xludf.DUMMYFUNCTION("""COMPUTED_VALUE"""),46127.66666666667)</f>
        <v>46127.66667</v>
      </c>
      <c r="B158" s="58">
        <f>IFERROR(__xludf.DUMMYFUNCTION("""COMPUTED_VALUE"""),48463.72)</f>
        <v>48463.72</v>
      </c>
      <c r="C158" s="73">
        <f>IFERROR(__xludf.DUMMYFUNCTION("""COMPUTED_VALUE"""),46127.66666666667)</f>
        <v>46127.66667</v>
      </c>
      <c r="D158" s="50">
        <f>IFERROR(__xludf.DUMMYFUNCTION("""COMPUTED_VALUE"""),24016.02)</f>
        <v>24016.02</v>
      </c>
      <c r="E158" s="76">
        <f>IFERROR(__xludf.DUMMYFUNCTION("""COMPUTED_VALUE"""),46127.66666666667)</f>
        <v>46127.66667</v>
      </c>
      <c r="F158" s="50">
        <f>IFERROR(__xludf.DUMMYFUNCTION("""COMPUTED_VALUE"""),7022.95)</f>
        <v>7022.95</v>
      </c>
      <c r="G158" s="76">
        <f>IFERROR(__xludf.DUMMYFUNCTION("""COMPUTED_VALUE"""),46127.66666666667)</f>
        <v>46127.66667</v>
      </c>
      <c r="H158" s="50">
        <f>IFERROR(__xludf.DUMMYFUNCTION("""COMPUTED_VALUE"""),375.1)</f>
        <v>375.1</v>
      </c>
    </row>
    <row r="159">
      <c r="A159" s="72">
        <f>IFERROR(__xludf.DUMMYFUNCTION("""COMPUTED_VALUE"""),46128.66666666667)</f>
        <v>46128.66667</v>
      </c>
      <c r="B159" s="58">
        <f>IFERROR(__xludf.DUMMYFUNCTION("""COMPUTED_VALUE"""),48578.72)</f>
        <v>48578.72</v>
      </c>
      <c r="C159" s="73">
        <f>IFERROR(__xludf.DUMMYFUNCTION("""COMPUTED_VALUE"""),46128.66666666667)</f>
        <v>46128.66667</v>
      </c>
      <c r="D159" s="50">
        <f>IFERROR(__xludf.DUMMYFUNCTION("""COMPUTED_VALUE"""),24102.7)</f>
        <v>24102.7</v>
      </c>
      <c r="E159" s="76">
        <f>IFERROR(__xludf.DUMMYFUNCTION("""COMPUTED_VALUE"""),46128.66666666667)</f>
        <v>46128.66667</v>
      </c>
      <c r="F159" s="50">
        <f>IFERROR(__xludf.DUMMYFUNCTION("""COMPUTED_VALUE"""),7041.28)</f>
        <v>7041.28</v>
      </c>
      <c r="G159" s="76">
        <f>IFERROR(__xludf.DUMMYFUNCTION("""COMPUTED_VALUE"""),46128.66666666667)</f>
        <v>46128.66667</v>
      </c>
      <c r="H159" s="50">
        <f>IFERROR(__xludf.DUMMYFUNCTION("""COMPUTED_VALUE"""),363.35)</f>
        <v>363.35</v>
      </c>
    </row>
    <row r="160">
      <c r="A160" s="72">
        <f>IFERROR(__xludf.DUMMYFUNCTION("""COMPUTED_VALUE"""),46129.66666666667)</f>
        <v>46129.66667</v>
      </c>
      <c r="B160" s="58">
        <f>IFERROR(__xludf.DUMMYFUNCTION("""COMPUTED_VALUE"""),49447.43)</f>
        <v>49447.43</v>
      </c>
      <c r="C160" s="73">
        <f>IFERROR(__xludf.DUMMYFUNCTION("""COMPUTED_VALUE"""),46129.66666666667)</f>
        <v>46129.66667</v>
      </c>
      <c r="D160" s="50">
        <f>IFERROR(__xludf.DUMMYFUNCTION("""COMPUTED_VALUE"""),24468.48)</f>
        <v>24468.48</v>
      </c>
      <c r="E160" s="76">
        <f>IFERROR(__xludf.DUMMYFUNCTION("""COMPUTED_VALUE"""),46129.66666666667)</f>
        <v>46129.66667</v>
      </c>
      <c r="F160" s="50">
        <f>IFERROR(__xludf.DUMMYFUNCTION("""COMPUTED_VALUE"""),7126.06)</f>
        <v>7126.06</v>
      </c>
      <c r="G160" s="76">
        <f>IFERROR(__xludf.DUMMYFUNCTION("""COMPUTED_VALUE"""),46129.66666666667)</f>
        <v>46129.66667</v>
      </c>
      <c r="H160" s="50">
        <f>IFERROR(__xludf.DUMMYFUNCTION("""COMPUTED_VALUE"""),370.5)</f>
        <v>370.5</v>
      </c>
    </row>
    <row r="161">
      <c r="A161" s="72">
        <f>IFERROR(__xludf.DUMMYFUNCTION("""COMPUTED_VALUE"""),46132.66666666667)</f>
        <v>46132.66667</v>
      </c>
      <c r="B161" s="58">
        <f>IFERROR(__xludf.DUMMYFUNCTION("""COMPUTED_VALUE"""),49442.56)</f>
        <v>49442.56</v>
      </c>
      <c r="C161" s="73">
        <f>IFERROR(__xludf.DUMMYFUNCTION("""COMPUTED_VALUE"""),46132.66666666667)</f>
        <v>46132.66667</v>
      </c>
      <c r="D161" s="50">
        <f>IFERROR(__xludf.DUMMYFUNCTION("""COMPUTED_VALUE"""),24404.39)</f>
        <v>24404.39</v>
      </c>
      <c r="E161" s="76">
        <f>IFERROR(__xludf.DUMMYFUNCTION("""COMPUTED_VALUE"""),46132.66666666667)</f>
        <v>46132.66667</v>
      </c>
      <c r="F161" s="50">
        <f>IFERROR(__xludf.DUMMYFUNCTION("""COMPUTED_VALUE"""),7109.14)</f>
        <v>7109.14</v>
      </c>
      <c r="G161" s="76">
        <f>IFERROR(__xludf.DUMMYFUNCTION("""COMPUTED_VALUE"""),46132.66666666667)</f>
        <v>46132.66667</v>
      </c>
      <c r="H161" s="50">
        <f>IFERROR(__xludf.DUMMYFUNCTION("""COMPUTED_VALUE"""),366.24)</f>
        <v>366.24</v>
      </c>
    </row>
    <row r="162">
      <c r="A162" s="72">
        <f>IFERROR(__xludf.DUMMYFUNCTION("""COMPUTED_VALUE"""),46133.66666666667)</f>
        <v>46133.66667</v>
      </c>
      <c r="B162" s="58">
        <f>IFERROR(__xludf.DUMMYFUNCTION("""COMPUTED_VALUE"""),49149.38)</f>
        <v>49149.38</v>
      </c>
      <c r="C162" s="73">
        <f>IFERROR(__xludf.DUMMYFUNCTION("""COMPUTED_VALUE"""),46133.66666666667)</f>
        <v>46133.66667</v>
      </c>
      <c r="D162" s="50">
        <f>IFERROR(__xludf.DUMMYFUNCTION("""COMPUTED_VALUE"""),24259.96)</f>
        <v>24259.96</v>
      </c>
      <c r="E162" s="76">
        <f>IFERROR(__xludf.DUMMYFUNCTION("""COMPUTED_VALUE"""),46133.66666666667)</f>
        <v>46133.66667</v>
      </c>
      <c r="F162" s="50">
        <f>IFERROR(__xludf.DUMMYFUNCTION("""COMPUTED_VALUE"""),7064.01)</f>
        <v>7064.01</v>
      </c>
      <c r="G162" s="76">
        <f>IFERROR(__xludf.DUMMYFUNCTION("""COMPUTED_VALUE"""),46133.66666666667)</f>
        <v>46133.66667</v>
      </c>
      <c r="H162" s="50">
        <f>IFERROR(__xludf.DUMMYFUNCTION("""COMPUTED_VALUE"""),368.08)</f>
        <v>368.08</v>
      </c>
    </row>
    <row r="163">
      <c r="A163" s="72">
        <f>IFERROR(__xludf.DUMMYFUNCTION("""COMPUTED_VALUE"""),46134.66666666667)</f>
        <v>46134.66667</v>
      </c>
      <c r="B163" s="58">
        <f>IFERROR(__xludf.DUMMYFUNCTION("""COMPUTED_VALUE"""),49490.03)</f>
        <v>49490.03</v>
      </c>
      <c r="C163" s="73">
        <f>IFERROR(__xludf.DUMMYFUNCTION("""COMPUTED_VALUE"""),46134.66666666667)</f>
        <v>46134.66667</v>
      </c>
      <c r="D163" s="50">
        <f>IFERROR(__xludf.DUMMYFUNCTION("""COMPUTED_VALUE"""),24657.57)</f>
        <v>24657.57</v>
      </c>
      <c r="E163" s="76">
        <f>IFERROR(__xludf.DUMMYFUNCTION("""COMPUTED_VALUE"""),46134.66666666667)</f>
        <v>46134.66667</v>
      </c>
      <c r="F163" s="50">
        <f>IFERROR(__xludf.DUMMYFUNCTION("""COMPUTED_VALUE"""),7137.9)</f>
        <v>7137.9</v>
      </c>
      <c r="G163" s="76">
        <f>IFERROR(__xludf.DUMMYFUNCTION("""COMPUTED_VALUE"""),46134.66666666667)</f>
        <v>46134.66667</v>
      </c>
      <c r="H163" s="50">
        <f>IFERROR(__xludf.DUMMYFUNCTION("""COMPUTED_VALUE"""),387.44)</f>
        <v>387.44</v>
      </c>
    </row>
    <row r="164">
      <c r="A164" s="72">
        <f>IFERROR(__xludf.DUMMYFUNCTION("""COMPUTED_VALUE"""),46135.66666666667)</f>
        <v>46135.66667</v>
      </c>
      <c r="B164" s="58">
        <f>IFERROR(__xludf.DUMMYFUNCTION("""COMPUTED_VALUE"""),49310.32)</f>
        <v>49310.32</v>
      </c>
      <c r="C164" s="73">
        <f>IFERROR(__xludf.DUMMYFUNCTION("""COMPUTED_VALUE"""),46135.66666666667)</f>
        <v>46135.66667</v>
      </c>
      <c r="D164" s="50">
        <f>IFERROR(__xludf.DUMMYFUNCTION("""COMPUTED_VALUE"""),24438.5)</f>
        <v>24438.5</v>
      </c>
      <c r="E164" s="76">
        <f>IFERROR(__xludf.DUMMYFUNCTION("""COMPUTED_VALUE"""),46135.66666666667)</f>
        <v>46135.66667</v>
      </c>
      <c r="F164" s="50">
        <f>IFERROR(__xludf.DUMMYFUNCTION("""COMPUTED_VALUE"""),7108.4)</f>
        <v>7108.4</v>
      </c>
      <c r="G164" s="76">
        <f>IFERROR(__xludf.DUMMYFUNCTION("""COMPUTED_VALUE"""),46135.66666666667)</f>
        <v>46135.66667</v>
      </c>
      <c r="H164" s="50">
        <f>IFERROR(__xludf.DUMMYFUNCTION("""COMPUTED_VALUE"""),382.66)</f>
        <v>382.66</v>
      </c>
    </row>
    <row r="165">
      <c r="A165" s="72">
        <f>IFERROR(__xludf.DUMMYFUNCTION("""COMPUTED_VALUE"""),46136.66666666667)</f>
        <v>46136.66667</v>
      </c>
      <c r="B165" s="58">
        <f>IFERROR(__xludf.DUMMYFUNCTION("""COMPUTED_VALUE"""),49230.71)</f>
        <v>49230.71</v>
      </c>
      <c r="C165" s="73">
        <f>IFERROR(__xludf.DUMMYFUNCTION("""COMPUTED_VALUE"""),46136.66666666667)</f>
        <v>46136.66667</v>
      </c>
      <c r="D165" s="50">
        <f>IFERROR(__xludf.DUMMYFUNCTION("""COMPUTED_VALUE"""),24836.6)</f>
        <v>24836.6</v>
      </c>
      <c r="E165" s="76">
        <f>IFERROR(__xludf.DUMMYFUNCTION("""COMPUTED_VALUE"""),46136.66666666667)</f>
        <v>46136.66667</v>
      </c>
      <c r="F165" s="50">
        <f>IFERROR(__xludf.DUMMYFUNCTION("""COMPUTED_VALUE"""),7165.08)</f>
        <v>7165.08</v>
      </c>
      <c r="G165" s="76">
        <f>IFERROR(__xludf.DUMMYFUNCTION("""COMPUTED_VALUE"""),46136.66666666667)</f>
        <v>46136.66667</v>
      </c>
      <c r="H165" s="50">
        <f>IFERROR(__xludf.DUMMYFUNCTION("""COMPUTED_VALUE"""),402.46)</f>
        <v>402.46</v>
      </c>
    </row>
    <row r="166">
      <c r="A166" s="72">
        <f>IFERROR(__xludf.DUMMYFUNCTION("""COMPUTED_VALUE"""),46139.66666666667)</f>
        <v>46139.66667</v>
      </c>
      <c r="B166" s="58">
        <f>IFERROR(__xludf.DUMMYFUNCTION("""COMPUTED_VALUE"""),49167.79)</f>
        <v>49167.79</v>
      </c>
      <c r="C166" s="73">
        <f>IFERROR(__xludf.DUMMYFUNCTION("""COMPUTED_VALUE"""),46139.66666666667)</f>
        <v>46139.66667</v>
      </c>
      <c r="D166" s="50">
        <f>IFERROR(__xludf.DUMMYFUNCTION("""COMPUTED_VALUE"""),24887.1)</f>
        <v>24887.1</v>
      </c>
      <c r="E166" s="76">
        <f>IFERROR(__xludf.DUMMYFUNCTION("""COMPUTED_VALUE"""),46139.66666666667)</f>
        <v>46139.66667</v>
      </c>
      <c r="F166" s="50">
        <f>IFERROR(__xludf.DUMMYFUNCTION("""COMPUTED_VALUE"""),7173.91)</f>
        <v>7173.91</v>
      </c>
      <c r="G166" s="76">
        <f>IFERROR(__xludf.DUMMYFUNCTION("""COMPUTED_VALUE"""),46139.66666666667)</f>
        <v>46139.66667</v>
      </c>
      <c r="H166" s="50">
        <f>IFERROR(__xludf.DUMMYFUNCTION("""COMPUTED_VALUE"""),404.98)</f>
        <v>404.98</v>
      </c>
    </row>
    <row r="167">
      <c r="A167" s="72">
        <f>IFERROR(__xludf.DUMMYFUNCTION("""COMPUTED_VALUE"""),46140.66666666667)</f>
        <v>46140.66667</v>
      </c>
      <c r="B167" s="58">
        <f>IFERROR(__xludf.DUMMYFUNCTION("""COMPUTED_VALUE"""),49141.93)</f>
        <v>49141.93</v>
      </c>
      <c r="C167" s="73">
        <f>IFERROR(__xludf.DUMMYFUNCTION("""COMPUTED_VALUE"""),46140.66666666667)</f>
        <v>46140.66667</v>
      </c>
      <c r="D167" s="50">
        <f>IFERROR(__xludf.DUMMYFUNCTION("""COMPUTED_VALUE"""),24663.8)</f>
        <v>24663.8</v>
      </c>
      <c r="E167" s="76">
        <f>IFERROR(__xludf.DUMMYFUNCTION("""COMPUTED_VALUE"""),46140.66666666667)</f>
        <v>46140.66667</v>
      </c>
      <c r="F167" s="50">
        <f>IFERROR(__xludf.DUMMYFUNCTION("""COMPUTED_VALUE"""),7138.8)</f>
        <v>7138.8</v>
      </c>
      <c r="G167" s="76">
        <f>IFERROR(__xludf.DUMMYFUNCTION("""COMPUTED_VALUE"""),46140.66666666667)</f>
        <v>46140.66667</v>
      </c>
      <c r="H167" s="50">
        <f>IFERROR(__xludf.DUMMYFUNCTION("""COMPUTED_VALUE"""),392.34)</f>
        <v>392.34</v>
      </c>
    </row>
    <row r="168">
      <c r="A168" s="72">
        <f>IFERROR(__xludf.DUMMYFUNCTION("""COMPUTED_VALUE"""),46141.66666666667)</f>
        <v>46141.66667</v>
      </c>
      <c r="B168" s="58">
        <f>IFERROR(__xludf.DUMMYFUNCTION("""COMPUTED_VALUE"""),48861.81)</f>
        <v>48861.81</v>
      </c>
      <c r="C168" s="73">
        <f>IFERROR(__xludf.DUMMYFUNCTION("""COMPUTED_VALUE"""),46141.66666666667)</f>
        <v>46141.66667</v>
      </c>
      <c r="D168" s="50">
        <f>IFERROR(__xludf.DUMMYFUNCTION("""COMPUTED_VALUE"""),24673.24)</f>
        <v>24673.24</v>
      </c>
      <c r="E168" s="76">
        <f>IFERROR(__xludf.DUMMYFUNCTION("""COMPUTED_VALUE"""),46141.66666666667)</f>
        <v>46141.66667</v>
      </c>
      <c r="F168" s="50">
        <f>IFERROR(__xludf.DUMMYFUNCTION("""COMPUTED_VALUE"""),7135.95)</f>
        <v>7135.95</v>
      </c>
      <c r="G168" s="76">
        <f>IFERROR(__xludf.DUMMYFUNCTION("""COMPUTED_VALUE"""),46141.66666666667)</f>
        <v>46141.66667</v>
      </c>
      <c r="H168" s="50">
        <f>IFERROR(__xludf.DUMMYFUNCTION("""COMPUTED_VALUE"""),393.83)</f>
        <v>393.83</v>
      </c>
    </row>
    <row r="169">
      <c r="A169" s="72">
        <f>IFERROR(__xludf.DUMMYFUNCTION("""COMPUTED_VALUE"""),46142.66666666667)</f>
        <v>46142.66667</v>
      </c>
      <c r="B169" s="58">
        <f>IFERROR(__xludf.DUMMYFUNCTION("""COMPUTED_VALUE"""),49652.14)</f>
        <v>49652.14</v>
      </c>
      <c r="C169" s="73">
        <f>IFERROR(__xludf.DUMMYFUNCTION("""COMPUTED_VALUE"""),46142.66666666667)</f>
        <v>46142.66667</v>
      </c>
      <c r="D169" s="50">
        <f>IFERROR(__xludf.DUMMYFUNCTION("""COMPUTED_VALUE"""),24892.31)</f>
        <v>24892.31</v>
      </c>
      <c r="E169" s="76">
        <f>IFERROR(__xludf.DUMMYFUNCTION("""COMPUTED_VALUE"""),46142.66666666667)</f>
        <v>46142.66667</v>
      </c>
      <c r="F169" s="50">
        <f>IFERROR(__xludf.DUMMYFUNCTION("""COMPUTED_VALUE"""),7209.01)</f>
        <v>7209.01</v>
      </c>
      <c r="G169" s="76">
        <f>IFERROR(__xludf.DUMMYFUNCTION("""COMPUTED_VALUE"""),46142.66666666667)</f>
        <v>46142.66667</v>
      </c>
      <c r="H169" s="50">
        <f>IFERROR(__xludf.DUMMYFUNCTION("""COMPUTED_VALUE"""),396.06)</f>
        <v>396.06</v>
      </c>
    </row>
    <row r="170">
      <c r="A170" s="72">
        <f>IFERROR(__xludf.DUMMYFUNCTION("""COMPUTED_VALUE"""),46143.66666666667)</f>
        <v>46143.66667</v>
      </c>
      <c r="B170" s="58">
        <f>IFERROR(__xludf.DUMMYFUNCTION("""COMPUTED_VALUE"""),49499.27)</f>
        <v>49499.27</v>
      </c>
      <c r="C170" s="73">
        <f>IFERROR(__xludf.DUMMYFUNCTION("""COMPUTED_VALUE"""),46143.66666666667)</f>
        <v>46143.66667</v>
      </c>
      <c r="D170" s="50">
        <f>IFERROR(__xludf.DUMMYFUNCTION("""COMPUTED_VALUE"""),25114.44)</f>
        <v>25114.44</v>
      </c>
      <c r="E170" s="76">
        <f>IFERROR(__xludf.DUMMYFUNCTION("""COMPUTED_VALUE"""),46143.66666666667)</f>
        <v>46143.66667</v>
      </c>
      <c r="F170" s="50">
        <f>IFERROR(__xludf.DUMMYFUNCTION("""COMPUTED_VALUE"""),7230.12)</f>
        <v>7230.12</v>
      </c>
      <c r="G170" s="76">
        <f>IFERROR(__xludf.DUMMYFUNCTION("""COMPUTED_VALUE"""),46143.66666666667)</f>
        <v>46143.66667</v>
      </c>
      <c r="H170" s="50">
        <f>IFERROR(__xludf.DUMMYFUNCTION("""COMPUTED_VALUE"""),397.67)</f>
        <v>397.67</v>
      </c>
    </row>
    <row r="171">
      <c r="A171" s="72">
        <f>IFERROR(__xludf.DUMMYFUNCTION("""COMPUTED_VALUE"""),46146.66666666667)</f>
        <v>46146.66667</v>
      </c>
      <c r="B171" s="58">
        <f>IFERROR(__xludf.DUMMYFUNCTION("""COMPUTED_VALUE"""),48941.9)</f>
        <v>48941.9</v>
      </c>
      <c r="C171" s="73">
        <f>IFERROR(__xludf.DUMMYFUNCTION("""COMPUTED_VALUE"""),46146.66666666667)</f>
        <v>46146.66667</v>
      </c>
      <c r="D171" s="50">
        <f>IFERROR(__xludf.DUMMYFUNCTION("""COMPUTED_VALUE"""),25067.8)</f>
        <v>25067.8</v>
      </c>
      <c r="E171" s="76">
        <f>IFERROR(__xludf.DUMMYFUNCTION("""COMPUTED_VALUE"""),46146.66666666667)</f>
        <v>46146.66667</v>
      </c>
      <c r="F171" s="50">
        <f>IFERROR(__xludf.DUMMYFUNCTION("""COMPUTED_VALUE"""),7200.75)</f>
        <v>7200.75</v>
      </c>
      <c r="G171" s="76">
        <f>IFERROR(__xludf.DUMMYFUNCTION("""COMPUTED_VALUE"""),46146.66666666667)</f>
        <v>46146.66667</v>
      </c>
      <c r="H171" s="50">
        <f>IFERROR(__xludf.DUMMYFUNCTION("""COMPUTED_VALUE"""),401.61)</f>
        <v>401.61</v>
      </c>
    </row>
    <row r="172">
      <c r="A172" s="72">
        <f>IFERROR(__xludf.DUMMYFUNCTION("""COMPUTED_VALUE"""),46147.66666666667)</f>
        <v>46147.66667</v>
      </c>
      <c r="B172" s="58">
        <f>IFERROR(__xludf.DUMMYFUNCTION("""COMPUTED_VALUE"""),49298.25)</f>
        <v>49298.25</v>
      </c>
      <c r="C172" s="73">
        <f>IFERROR(__xludf.DUMMYFUNCTION("""COMPUTED_VALUE"""),46147.66666666667)</f>
        <v>46147.66667</v>
      </c>
      <c r="D172" s="50">
        <f>IFERROR(__xludf.DUMMYFUNCTION("""COMPUTED_VALUE"""),25326.13)</f>
        <v>25326.13</v>
      </c>
      <c r="E172" s="76">
        <f>IFERROR(__xludf.DUMMYFUNCTION("""COMPUTED_VALUE"""),46147.66666666667)</f>
        <v>46147.66667</v>
      </c>
      <c r="F172" s="50">
        <f>IFERROR(__xludf.DUMMYFUNCTION("""COMPUTED_VALUE"""),7259.22)</f>
        <v>7259.22</v>
      </c>
      <c r="G172" s="76">
        <f>IFERROR(__xludf.DUMMYFUNCTION("""COMPUTED_VALUE"""),46147.66666666667)</f>
        <v>46147.66667</v>
      </c>
      <c r="H172" s="50">
        <f>IFERROR(__xludf.DUMMYFUNCTION("""COMPUTED_VALUE"""),394.41)</f>
        <v>394.41</v>
      </c>
    </row>
    <row r="173">
      <c r="A173" s="72">
        <f>IFERROR(__xludf.DUMMYFUNCTION("""COMPUTED_VALUE"""),46148.66666666667)</f>
        <v>46148.66667</v>
      </c>
      <c r="B173" s="58">
        <f>IFERROR(__xludf.DUMMYFUNCTION("""COMPUTED_VALUE"""),49910.59)</f>
        <v>49910.59</v>
      </c>
      <c r="C173" s="73">
        <f>IFERROR(__xludf.DUMMYFUNCTION("""COMPUTED_VALUE"""),46148.66666666667)</f>
        <v>46148.66667</v>
      </c>
      <c r="D173" s="50">
        <f>IFERROR(__xludf.DUMMYFUNCTION("""COMPUTED_VALUE"""),25838.94)</f>
        <v>25838.94</v>
      </c>
      <c r="E173" s="76">
        <f>IFERROR(__xludf.DUMMYFUNCTION("""COMPUTED_VALUE"""),46148.66666666667)</f>
        <v>46148.66667</v>
      </c>
      <c r="F173" s="50">
        <f>IFERROR(__xludf.DUMMYFUNCTION("""COMPUTED_VALUE"""),7365.12)</f>
        <v>7365.12</v>
      </c>
      <c r="G173" s="76">
        <f>IFERROR(__xludf.DUMMYFUNCTION("""COMPUTED_VALUE"""),46148.66666666667)</f>
        <v>46148.66667</v>
      </c>
      <c r="H173" s="50">
        <f>IFERROR(__xludf.DUMMYFUNCTION("""COMPUTED_VALUE"""),419.5)</f>
        <v>419.5</v>
      </c>
    </row>
    <row r="174">
      <c r="A174" s="72">
        <f>IFERROR(__xludf.DUMMYFUNCTION("""COMPUTED_VALUE"""),46149.66666666667)</f>
        <v>46149.66667</v>
      </c>
      <c r="B174" s="58">
        <f>IFERROR(__xludf.DUMMYFUNCTION("""COMPUTED_VALUE"""),49596.97)</f>
        <v>49596.97</v>
      </c>
      <c r="C174" s="73">
        <f>IFERROR(__xludf.DUMMYFUNCTION("""COMPUTED_VALUE"""),46149.66666666667)</f>
        <v>46149.66667</v>
      </c>
      <c r="D174" s="50">
        <f>IFERROR(__xludf.DUMMYFUNCTION("""COMPUTED_VALUE"""),25806.2)</f>
        <v>25806.2</v>
      </c>
      <c r="E174" s="76">
        <f>IFERROR(__xludf.DUMMYFUNCTION("""COMPUTED_VALUE"""),46149.66666666667)</f>
        <v>46149.66667</v>
      </c>
      <c r="F174" s="50">
        <f>IFERROR(__xludf.DUMMYFUNCTION("""COMPUTED_VALUE"""),7337.11)</f>
        <v>7337.11</v>
      </c>
      <c r="G174" s="76">
        <f>IFERROR(__xludf.DUMMYFUNCTION("""COMPUTED_VALUE"""),46149.66666666667)</f>
        <v>46149.66667</v>
      </c>
      <c r="H174" s="50">
        <f>IFERROR(__xludf.DUMMYFUNCTION("""COMPUTED_VALUE"""),414.15)</f>
        <v>414.15</v>
      </c>
    </row>
    <row r="175">
      <c r="A175" s="72">
        <f>IFERROR(__xludf.DUMMYFUNCTION("""COMPUTED_VALUE"""),46150.66666666667)</f>
        <v>46150.66667</v>
      </c>
      <c r="B175" s="58">
        <f>IFERROR(__xludf.DUMMYFUNCTION("""COMPUTED_VALUE"""),49609.16)</f>
        <v>49609.16</v>
      </c>
      <c r="C175" s="73">
        <f>IFERROR(__xludf.DUMMYFUNCTION("""COMPUTED_VALUE"""),46150.66666666667)</f>
        <v>46150.66667</v>
      </c>
      <c r="D175" s="50">
        <f>IFERROR(__xludf.DUMMYFUNCTION("""COMPUTED_VALUE"""),26247.08)</f>
        <v>26247.08</v>
      </c>
      <c r="E175" s="76">
        <f>IFERROR(__xludf.DUMMYFUNCTION("""COMPUTED_VALUE"""),46150.66666666667)</f>
        <v>46150.66667</v>
      </c>
      <c r="F175" s="50">
        <f>IFERROR(__xludf.DUMMYFUNCTION("""COMPUTED_VALUE"""),7398.93)</f>
        <v>7398.93</v>
      </c>
      <c r="G175" s="76">
        <f>IFERROR(__xludf.DUMMYFUNCTION("""COMPUTED_VALUE"""),46150.66666666667)</f>
        <v>46150.66667</v>
      </c>
      <c r="H175" s="50">
        <f>IFERROR(__xludf.DUMMYFUNCTION("""COMPUTED_VALUE"""),411.68)</f>
        <v>411.68</v>
      </c>
    </row>
    <row r="176">
      <c r="A176" s="72">
        <f>IFERROR(__xludf.DUMMYFUNCTION("""COMPUTED_VALUE"""),46153.66666666667)</f>
        <v>46153.66667</v>
      </c>
      <c r="B176" s="58">
        <f>IFERROR(__xludf.DUMMYFUNCTION("""COMPUTED_VALUE"""),49704.47)</f>
        <v>49704.47</v>
      </c>
      <c r="C176" s="73">
        <f>IFERROR(__xludf.DUMMYFUNCTION("""COMPUTED_VALUE"""),46153.66666666667)</f>
        <v>46153.66667</v>
      </c>
      <c r="D176" s="50">
        <f>IFERROR(__xludf.DUMMYFUNCTION("""COMPUTED_VALUE"""),26274.13)</f>
        <v>26274.13</v>
      </c>
      <c r="E176" s="76">
        <f>IFERROR(__xludf.DUMMYFUNCTION("""COMPUTED_VALUE"""),46153.66666666667)</f>
        <v>46153.66667</v>
      </c>
      <c r="F176" s="50">
        <f>IFERROR(__xludf.DUMMYFUNCTION("""COMPUTED_VALUE"""),7412.84)</f>
        <v>7412.84</v>
      </c>
      <c r="G176" s="76">
        <f>IFERROR(__xludf.DUMMYFUNCTION("""COMPUTED_VALUE"""),46153.66666666667)</f>
        <v>46153.66667</v>
      </c>
      <c r="H176" s="50">
        <f>IFERROR(__xludf.DUMMYFUNCTION("""COMPUTED_VALUE"""),404.54)</f>
        <v>404.54</v>
      </c>
    </row>
    <row r="177">
      <c r="A177" s="72">
        <f>IFERROR(__xludf.DUMMYFUNCTION("""COMPUTED_VALUE"""),46154.66666666667)</f>
        <v>46154.66667</v>
      </c>
      <c r="B177" s="58">
        <f>IFERROR(__xludf.DUMMYFUNCTION("""COMPUTED_VALUE"""),49760.56)</f>
        <v>49760.56</v>
      </c>
      <c r="C177" s="73">
        <f>IFERROR(__xludf.DUMMYFUNCTION("""COMPUTED_VALUE"""),46154.66666666667)</f>
        <v>46154.66667</v>
      </c>
      <c r="D177" s="50">
        <f>IFERROR(__xludf.DUMMYFUNCTION("""COMPUTED_VALUE"""),26088.2)</f>
        <v>26088.2</v>
      </c>
      <c r="E177" s="76">
        <f>IFERROR(__xludf.DUMMYFUNCTION("""COMPUTED_VALUE"""),46154.66666666667)</f>
        <v>46154.66667</v>
      </c>
      <c r="F177" s="50">
        <f>IFERROR(__xludf.DUMMYFUNCTION("""COMPUTED_VALUE"""),7400.96)</f>
        <v>7400.96</v>
      </c>
      <c r="G177" s="76">
        <f>IFERROR(__xludf.DUMMYFUNCTION("""COMPUTED_VALUE"""),46154.66666666667)</f>
        <v>46154.66667</v>
      </c>
      <c r="H177" s="50">
        <f>IFERROR(__xludf.DUMMYFUNCTION("""COMPUTED_VALUE"""),397.28)</f>
        <v>397.28</v>
      </c>
    </row>
    <row r="178">
      <c r="A178" s="72">
        <f>IFERROR(__xludf.DUMMYFUNCTION("""COMPUTED_VALUE"""),46155.66666666667)</f>
        <v>46155.66667</v>
      </c>
      <c r="B178" s="58">
        <f>IFERROR(__xludf.DUMMYFUNCTION("""COMPUTED_VALUE"""),49693.2)</f>
        <v>49693.2</v>
      </c>
      <c r="C178" s="73">
        <f>IFERROR(__xludf.DUMMYFUNCTION("""COMPUTED_VALUE"""),46155.66666666667)</f>
        <v>46155.66667</v>
      </c>
      <c r="D178" s="50">
        <f>IFERROR(__xludf.DUMMYFUNCTION("""COMPUTED_VALUE"""),26402.34)</f>
        <v>26402.34</v>
      </c>
      <c r="E178" s="76">
        <f>IFERROR(__xludf.DUMMYFUNCTION("""COMPUTED_VALUE"""),46155.66666666667)</f>
        <v>46155.66667</v>
      </c>
      <c r="F178" s="50">
        <f>IFERROR(__xludf.DUMMYFUNCTION("""COMPUTED_VALUE"""),7444.25)</f>
        <v>7444.25</v>
      </c>
      <c r="G178" s="76">
        <f>IFERROR(__xludf.DUMMYFUNCTION("""COMPUTED_VALUE"""),46155.66666666667)</f>
        <v>46155.66667</v>
      </c>
      <c r="H178" s="50">
        <f>IFERROR(__xludf.DUMMYFUNCTION("""COMPUTED_VALUE"""),399.8)</f>
        <v>399.8</v>
      </c>
    </row>
    <row r="179">
      <c r="A179" s="72">
        <f>IFERROR(__xludf.DUMMYFUNCTION("""COMPUTED_VALUE"""),46156.66666666667)</f>
        <v>46156.66667</v>
      </c>
      <c r="B179" s="58">
        <f>IFERROR(__xludf.DUMMYFUNCTION("""COMPUTED_VALUE"""),50063.46)</f>
        <v>50063.46</v>
      </c>
      <c r="C179" s="73">
        <f>IFERROR(__xludf.DUMMYFUNCTION("""COMPUTED_VALUE"""),46156.66666666667)</f>
        <v>46156.66667</v>
      </c>
      <c r="D179" s="50">
        <f>IFERROR(__xludf.DUMMYFUNCTION("""COMPUTED_VALUE"""),26635.22)</f>
        <v>26635.22</v>
      </c>
      <c r="E179" s="76">
        <f>IFERROR(__xludf.DUMMYFUNCTION("""COMPUTED_VALUE"""),46156.66666666667)</f>
        <v>46156.66667</v>
      </c>
      <c r="F179" s="50">
        <f>IFERROR(__xludf.DUMMYFUNCTION("""COMPUTED_VALUE"""),7501.24)</f>
        <v>7501.24</v>
      </c>
      <c r="G179" s="76">
        <f>IFERROR(__xludf.DUMMYFUNCTION("""COMPUTED_VALUE"""),46156.66666666667)</f>
        <v>46156.66667</v>
      </c>
      <c r="H179" s="50">
        <f>IFERROR(__xludf.DUMMYFUNCTION("""COMPUTED_VALUE"""),417.72)</f>
        <v>417.72</v>
      </c>
    </row>
    <row r="180">
      <c r="A180" s="72">
        <f>IFERROR(__xludf.DUMMYFUNCTION("""COMPUTED_VALUE"""),46157.66666666667)</f>
        <v>46157.66667</v>
      </c>
      <c r="B180" s="58">
        <f>IFERROR(__xludf.DUMMYFUNCTION("""COMPUTED_VALUE"""),49526.17)</f>
        <v>49526.17</v>
      </c>
      <c r="C180" s="73">
        <f>IFERROR(__xludf.DUMMYFUNCTION("""COMPUTED_VALUE"""),46157.66666666667)</f>
        <v>46157.66667</v>
      </c>
      <c r="D180" s="50">
        <f>IFERROR(__xludf.DUMMYFUNCTION("""COMPUTED_VALUE"""),26225.15)</f>
        <v>26225.15</v>
      </c>
      <c r="E180" s="76">
        <f>IFERROR(__xludf.DUMMYFUNCTION("""COMPUTED_VALUE"""),46157.66666666667)</f>
        <v>46157.66667</v>
      </c>
      <c r="F180" s="50">
        <f>IFERROR(__xludf.DUMMYFUNCTION("""COMPUTED_VALUE"""),7408.5)</f>
        <v>7408.5</v>
      </c>
      <c r="G180" s="76">
        <f>IFERROR(__xludf.DUMMYFUNCTION("""COMPUTED_VALUE"""),46157.66666666667)</f>
        <v>46157.66667</v>
      </c>
      <c r="H180" s="50">
        <f>IFERROR(__xludf.DUMMYFUNCTION("""COMPUTED_VALUE"""),404.35)</f>
        <v>404.35</v>
      </c>
    </row>
    <row r="181">
      <c r="A181" s="72"/>
      <c r="C181" s="73"/>
      <c r="D181" s="50"/>
      <c r="F181" s="50"/>
      <c r="H181" s="50"/>
    </row>
    <row r="182">
      <c r="A182" s="72"/>
      <c r="C182" s="73"/>
      <c r="D182" s="50"/>
      <c r="F182" s="50"/>
      <c r="H182" s="50"/>
    </row>
    <row r="183">
      <c r="A183" s="72"/>
      <c r="C183" s="73"/>
      <c r="D183" s="50"/>
      <c r="F183" s="50"/>
      <c r="H183" s="50"/>
    </row>
    <row r="184">
      <c r="A184" s="72"/>
      <c r="C184" s="73"/>
      <c r="D184" s="50"/>
      <c r="F184" s="50"/>
      <c r="H184" s="50"/>
    </row>
    <row r="185">
      <c r="A185" s="72"/>
      <c r="C185" s="73"/>
      <c r="D185" s="50"/>
      <c r="F185" s="50"/>
      <c r="H185" s="50"/>
    </row>
    <row r="186">
      <c r="A186" s="72"/>
      <c r="C186" s="73"/>
      <c r="D186" s="50"/>
      <c r="F186" s="50"/>
      <c r="H186" s="50"/>
    </row>
    <row r="187">
      <c r="A187" s="72"/>
      <c r="C187" s="73"/>
      <c r="D187" s="50"/>
      <c r="F187" s="50"/>
      <c r="H187" s="50"/>
    </row>
    <row r="188">
      <c r="A188" s="72"/>
      <c r="C188" s="73"/>
      <c r="D188" s="50"/>
      <c r="F188" s="50"/>
      <c r="H188" s="50"/>
    </row>
    <row r="189">
      <c r="A189" s="72"/>
      <c r="C189" s="73"/>
      <c r="D189" s="50"/>
      <c r="F189" s="50"/>
      <c r="H189" s="50"/>
    </row>
    <row r="190">
      <c r="A190" s="72"/>
      <c r="C190" s="73"/>
      <c r="D190" s="50"/>
      <c r="F190" s="50"/>
      <c r="H190" s="50"/>
    </row>
    <row r="191">
      <c r="A191" s="72"/>
      <c r="C191" s="73"/>
      <c r="D191" s="50"/>
      <c r="F191" s="50"/>
      <c r="H191" s="50"/>
    </row>
    <row r="192">
      <c r="A192" s="72"/>
      <c r="C192" s="73"/>
      <c r="D192" s="50"/>
      <c r="F192" s="50"/>
      <c r="H192" s="50"/>
    </row>
    <row r="193">
      <c r="A193" s="72"/>
      <c r="C193" s="73"/>
      <c r="D193" s="50"/>
      <c r="F193" s="50"/>
      <c r="H193" s="50"/>
    </row>
    <row r="194">
      <c r="A194" s="72"/>
      <c r="C194" s="73"/>
      <c r="D194" s="50"/>
      <c r="F194" s="50"/>
      <c r="H194" s="50"/>
    </row>
    <row r="195">
      <c r="A195" s="72"/>
      <c r="C195" s="73"/>
      <c r="D195" s="50"/>
      <c r="F195" s="50"/>
      <c r="H195" s="50"/>
    </row>
    <row r="196">
      <c r="A196" s="72"/>
      <c r="C196" s="73"/>
      <c r="D196" s="50"/>
      <c r="F196" s="50"/>
      <c r="H196" s="50"/>
    </row>
    <row r="197">
      <c r="A197" s="72"/>
      <c r="C197" s="73"/>
      <c r="D197" s="50"/>
      <c r="F197" s="50"/>
      <c r="H197" s="50"/>
    </row>
    <row r="198">
      <c r="A198" s="72"/>
      <c r="C198" s="73"/>
      <c r="D198" s="50"/>
      <c r="F198" s="50"/>
      <c r="H198" s="50"/>
    </row>
    <row r="199">
      <c r="A199" s="72"/>
      <c r="C199" s="73"/>
      <c r="D199" s="50"/>
      <c r="F199" s="50"/>
      <c r="H199" s="50"/>
    </row>
    <row r="200">
      <c r="A200" s="72"/>
      <c r="C200" s="73"/>
      <c r="D200" s="50"/>
      <c r="F200" s="50"/>
      <c r="H200" s="50"/>
    </row>
    <row r="201">
      <c r="A201" s="72"/>
      <c r="C201" s="73"/>
      <c r="D201" s="50"/>
      <c r="F201" s="50"/>
      <c r="H201" s="50"/>
    </row>
    <row r="202">
      <c r="A202" s="72"/>
      <c r="C202" s="73"/>
      <c r="D202" s="50"/>
      <c r="F202" s="50"/>
      <c r="H202" s="50"/>
    </row>
    <row r="203">
      <c r="A203" s="72"/>
      <c r="C203" s="73"/>
      <c r="D203" s="50"/>
      <c r="F203" s="50"/>
      <c r="H203" s="50"/>
    </row>
    <row r="204">
      <c r="A204" s="72"/>
      <c r="C204" s="73"/>
      <c r="D204" s="50"/>
      <c r="F204" s="50"/>
      <c r="H204" s="50"/>
    </row>
    <row r="205">
      <c r="A205" s="72"/>
      <c r="C205" s="73"/>
      <c r="D205" s="50"/>
      <c r="F205" s="50"/>
      <c r="H205" s="50"/>
    </row>
    <row r="206">
      <c r="A206" s="72"/>
      <c r="C206" s="73"/>
      <c r="D206" s="50"/>
      <c r="F206" s="50"/>
      <c r="H206" s="50"/>
    </row>
    <row r="207">
      <c r="A207" s="72"/>
      <c r="C207" s="73"/>
      <c r="D207" s="50"/>
      <c r="F207" s="50"/>
      <c r="H207" s="50"/>
    </row>
    <row r="208">
      <c r="A208" s="72"/>
      <c r="C208" s="73"/>
      <c r="D208" s="50"/>
      <c r="F208" s="50"/>
      <c r="H208" s="50"/>
    </row>
    <row r="209">
      <c r="A209" s="72"/>
      <c r="C209" s="73"/>
      <c r="D209" s="50"/>
      <c r="F209" s="50"/>
      <c r="H209" s="50"/>
    </row>
    <row r="210">
      <c r="A210" s="72"/>
      <c r="C210" s="73"/>
      <c r="D210" s="50"/>
      <c r="F210" s="50"/>
      <c r="H210" s="50"/>
    </row>
    <row r="211">
      <c r="A211" s="72"/>
      <c r="C211" s="73"/>
      <c r="D211" s="50"/>
      <c r="F211" s="50"/>
      <c r="H211" s="50"/>
    </row>
    <row r="212">
      <c r="A212" s="72"/>
      <c r="C212" s="73"/>
      <c r="D212" s="50"/>
      <c r="F212" s="50"/>
      <c r="H212" s="50"/>
    </row>
    <row r="213">
      <c r="A213" s="72"/>
      <c r="C213" s="73"/>
      <c r="D213" s="50"/>
      <c r="F213" s="50"/>
      <c r="H213" s="50"/>
    </row>
    <row r="214">
      <c r="A214" s="72"/>
      <c r="C214" s="73"/>
      <c r="D214" s="50"/>
      <c r="F214" s="50"/>
      <c r="H214" s="50"/>
    </row>
    <row r="215">
      <c r="A215" s="72"/>
      <c r="C215" s="73"/>
      <c r="D215" s="50"/>
      <c r="F215" s="50"/>
      <c r="H215" s="50"/>
    </row>
    <row r="216">
      <c r="A216" s="72"/>
      <c r="C216" s="73"/>
      <c r="D216" s="50"/>
      <c r="F216" s="50"/>
      <c r="H216" s="50"/>
    </row>
    <row r="217">
      <c r="A217" s="72"/>
      <c r="C217" s="73"/>
      <c r="D217" s="50"/>
      <c r="F217" s="50"/>
      <c r="H217" s="50"/>
    </row>
    <row r="218">
      <c r="A218" s="72"/>
      <c r="C218" s="73"/>
      <c r="D218" s="50"/>
      <c r="F218" s="50"/>
      <c r="H218" s="50"/>
    </row>
    <row r="219">
      <c r="A219" s="72"/>
      <c r="C219" s="73"/>
      <c r="D219" s="50"/>
      <c r="F219" s="50"/>
      <c r="H219" s="50"/>
    </row>
    <row r="220">
      <c r="A220" s="72"/>
      <c r="C220" s="73"/>
      <c r="D220" s="50"/>
      <c r="F220" s="50"/>
      <c r="H220" s="50"/>
    </row>
    <row r="221">
      <c r="A221" s="72"/>
      <c r="C221" s="73"/>
      <c r="D221" s="50"/>
      <c r="F221" s="50"/>
      <c r="H221" s="50"/>
    </row>
    <row r="222">
      <c r="A222" s="72"/>
      <c r="C222" s="73"/>
      <c r="D222" s="50"/>
      <c r="F222" s="50"/>
      <c r="H222" s="50"/>
    </row>
    <row r="223">
      <c r="A223" s="72"/>
      <c r="C223" s="73"/>
      <c r="D223" s="50"/>
      <c r="F223" s="50"/>
      <c r="H223" s="50"/>
    </row>
    <row r="224">
      <c r="A224" s="72"/>
      <c r="C224" s="73"/>
      <c r="D224" s="50"/>
      <c r="F224" s="50"/>
      <c r="H224" s="50"/>
    </row>
    <row r="225">
      <c r="A225" s="72"/>
      <c r="C225" s="73"/>
      <c r="D225" s="50"/>
      <c r="F225" s="50"/>
      <c r="H225" s="50"/>
    </row>
    <row r="226">
      <c r="A226" s="72"/>
      <c r="C226" s="73"/>
      <c r="D226" s="50"/>
      <c r="F226" s="50"/>
      <c r="H226" s="50"/>
    </row>
    <row r="227">
      <c r="A227" s="72"/>
      <c r="C227" s="73"/>
      <c r="D227" s="50"/>
      <c r="F227" s="50"/>
      <c r="H227" s="50"/>
    </row>
    <row r="228">
      <c r="A228" s="72"/>
      <c r="C228" s="73"/>
      <c r="D228" s="50"/>
      <c r="F228" s="50"/>
      <c r="H228" s="50"/>
    </row>
    <row r="229">
      <c r="A229" s="72"/>
      <c r="C229" s="73"/>
      <c r="D229" s="50"/>
      <c r="F229" s="50"/>
      <c r="H229" s="50"/>
    </row>
    <row r="230">
      <c r="A230" s="72"/>
      <c r="C230" s="73"/>
      <c r="D230" s="50"/>
      <c r="F230" s="50"/>
      <c r="H230" s="50"/>
    </row>
    <row r="231">
      <c r="A231" s="72"/>
      <c r="C231" s="73"/>
      <c r="D231" s="50"/>
      <c r="F231" s="50"/>
      <c r="H231" s="50"/>
    </row>
    <row r="232">
      <c r="A232" s="72"/>
      <c r="C232" s="73"/>
      <c r="D232" s="50"/>
      <c r="F232" s="50"/>
      <c r="H232" s="50"/>
    </row>
    <row r="233">
      <c r="A233" s="72"/>
      <c r="C233" s="73"/>
      <c r="D233" s="50"/>
      <c r="F233" s="50"/>
      <c r="H233" s="50"/>
    </row>
    <row r="234">
      <c r="A234" s="72"/>
      <c r="C234" s="73"/>
      <c r="D234" s="50"/>
      <c r="F234" s="50"/>
      <c r="H234" s="50"/>
    </row>
    <row r="235">
      <c r="A235" s="72"/>
      <c r="C235" s="73"/>
      <c r="D235" s="50"/>
      <c r="F235" s="50"/>
      <c r="H235" s="50"/>
    </row>
    <row r="236">
      <c r="A236" s="72"/>
      <c r="C236" s="73"/>
      <c r="D236" s="50"/>
      <c r="F236" s="50"/>
      <c r="H236" s="50"/>
    </row>
    <row r="237">
      <c r="A237" s="72"/>
      <c r="C237" s="73"/>
      <c r="D237" s="50"/>
      <c r="F237" s="50"/>
      <c r="H237" s="50"/>
    </row>
    <row r="238">
      <c r="A238" s="72"/>
      <c r="C238" s="73"/>
      <c r="D238" s="50"/>
      <c r="F238" s="50"/>
      <c r="H238" s="50"/>
    </row>
    <row r="239">
      <c r="A239" s="72"/>
      <c r="C239" s="73"/>
      <c r="D239" s="50"/>
      <c r="F239" s="50"/>
      <c r="H239" s="50"/>
    </row>
    <row r="240">
      <c r="A240" s="72"/>
      <c r="C240" s="73"/>
      <c r="D240" s="50"/>
      <c r="F240" s="50"/>
      <c r="H240" s="50"/>
    </row>
    <row r="241">
      <c r="A241" s="72"/>
      <c r="C241" s="73"/>
      <c r="D241" s="50"/>
      <c r="F241" s="50"/>
      <c r="H241" s="50"/>
    </row>
    <row r="242">
      <c r="A242" s="72"/>
      <c r="C242" s="73"/>
      <c r="D242" s="50"/>
      <c r="F242" s="50"/>
      <c r="H242" s="50"/>
    </row>
    <row r="243">
      <c r="A243" s="72"/>
      <c r="C243" s="73"/>
      <c r="D243" s="50"/>
      <c r="F243" s="50"/>
      <c r="H243" s="50"/>
    </row>
    <row r="244">
      <c r="A244" s="72"/>
      <c r="C244" s="73"/>
      <c r="D244" s="50"/>
      <c r="F244" s="50"/>
      <c r="H244" s="50"/>
    </row>
    <row r="245">
      <c r="A245" s="72"/>
      <c r="C245" s="73"/>
      <c r="D245" s="50"/>
      <c r="F245" s="50"/>
      <c r="H245" s="50"/>
    </row>
    <row r="246">
      <c r="A246" s="72"/>
      <c r="C246" s="73"/>
      <c r="D246" s="50"/>
      <c r="F246" s="50"/>
      <c r="H246" s="50"/>
    </row>
    <row r="247">
      <c r="A247" s="72"/>
      <c r="C247" s="73"/>
      <c r="D247" s="50"/>
      <c r="F247" s="50"/>
      <c r="H247" s="50"/>
    </row>
    <row r="248">
      <c r="A248" s="72"/>
      <c r="C248" s="73"/>
      <c r="D248" s="50"/>
      <c r="F248" s="50"/>
      <c r="H248" s="50"/>
    </row>
    <row r="249">
      <c r="A249" s="72"/>
      <c r="C249" s="73"/>
      <c r="D249" s="50"/>
      <c r="F249" s="50"/>
      <c r="H249" s="50"/>
    </row>
    <row r="250">
      <c r="A250" s="72"/>
      <c r="C250" s="73"/>
      <c r="D250" s="50"/>
      <c r="F250" s="50"/>
      <c r="H250" s="50"/>
    </row>
    <row r="251">
      <c r="A251" s="72"/>
      <c r="C251" s="73"/>
      <c r="D251" s="50"/>
      <c r="F251" s="50"/>
      <c r="H251" s="50"/>
    </row>
    <row r="252">
      <c r="A252" s="72"/>
      <c r="C252" s="73"/>
      <c r="D252" s="50"/>
      <c r="F252" s="50"/>
      <c r="H252" s="50"/>
    </row>
    <row r="253">
      <c r="A253" s="72"/>
      <c r="C253" s="73"/>
      <c r="D253" s="50"/>
      <c r="F253" s="50"/>
      <c r="H253" s="50"/>
    </row>
    <row r="254">
      <c r="A254" s="72"/>
      <c r="C254" s="73"/>
      <c r="D254" s="50"/>
      <c r="F254" s="50"/>
      <c r="H254" s="50"/>
    </row>
    <row r="255">
      <c r="A255" s="72"/>
      <c r="C255" s="73"/>
      <c r="D255" s="50"/>
      <c r="F255" s="50"/>
      <c r="H255" s="50"/>
    </row>
    <row r="256">
      <c r="A256" s="72"/>
      <c r="C256" s="73"/>
      <c r="D256" s="50"/>
      <c r="F256" s="50"/>
      <c r="H256" s="50"/>
    </row>
    <row r="257">
      <c r="A257" s="72"/>
      <c r="C257" s="73"/>
      <c r="D257" s="50"/>
      <c r="F257" s="50"/>
      <c r="H257" s="50"/>
    </row>
    <row r="258">
      <c r="A258" s="72"/>
      <c r="C258" s="73"/>
      <c r="D258" s="50"/>
      <c r="F258" s="50"/>
      <c r="H258" s="50"/>
    </row>
    <row r="259">
      <c r="A259" s="72"/>
      <c r="C259" s="73"/>
      <c r="D259" s="50"/>
      <c r="F259" s="50"/>
      <c r="H259" s="50"/>
    </row>
    <row r="260">
      <c r="A260" s="72"/>
      <c r="C260" s="73"/>
      <c r="D260" s="50"/>
      <c r="F260" s="50"/>
      <c r="H260" s="50"/>
    </row>
    <row r="261">
      <c r="A261" s="72"/>
      <c r="C261" s="73"/>
      <c r="D261" s="50"/>
      <c r="F261" s="50"/>
      <c r="H261" s="50"/>
    </row>
    <row r="262">
      <c r="A262" s="72"/>
      <c r="C262" s="73"/>
      <c r="D262" s="50"/>
      <c r="F262" s="50"/>
      <c r="H262" s="50"/>
    </row>
    <row r="263">
      <c r="A263" s="72"/>
      <c r="C263" s="73"/>
      <c r="D263" s="50"/>
      <c r="F263" s="50"/>
      <c r="H263" s="50"/>
    </row>
    <row r="264">
      <c r="A264" s="72"/>
      <c r="C264" s="73"/>
      <c r="D264" s="50"/>
      <c r="F264" s="50"/>
      <c r="H264" s="50"/>
    </row>
    <row r="265">
      <c r="A265" s="72"/>
      <c r="C265" s="73"/>
      <c r="D265" s="50"/>
      <c r="F265" s="50"/>
      <c r="H265" s="50"/>
    </row>
    <row r="266">
      <c r="A266" s="72"/>
      <c r="C266" s="73"/>
      <c r="D266" s="50"/>
      <c r="F266" s="50"/>
      <c r="H266" s="50"/>
    </row>
    <row r="267">
      <c r="A267" s="72"/>
      <c r="C267" s="73"/>
      <c r="D267" s="50"/>
      <c r="F267" s="50"/>
      <c r="H267" s="50"/>
    </row>
    <row r="268">
      <c r="A268" s="72"/>
      <c r="C268" s="73"/>
      <c r="D268" s="50"/>
      <c r="F268" s="50"/>
      <c r="H268" s="50"/>
    </row>
    <row r="269">
      <c r="A269" s="72"/>
      <c r="C269" s="73"/>
      <c r="D269" s="50"/>
      <c r="F269" s="50"/>
      <c r="H269" s="50"/>
    </row>
    <row r="270">
      <c r="A270" s="72"/>
      <c r="C270" s="73"/>
      <c r="D270" s="50"/>
      <c r="F270" s="50"/>
      <c r="H270" s="50"/>
    </row>
    <row r="271">
      <c r="A271" s="72"/>
      <c r="C271" s="73"/>
      <c r="D271" s="50"/>
      <c r="F271" s="50"/>
      <c r="H271" s="50"/>
    </row>
    <row r="272">
      <c r="A272" s="72"/>
      <c r="C272" s="73"/>
      <c r="D272" s="50"/>
      <c r="F272" s="50"/>
      <c r="H272" s="50"/>
    </row>
    <row r="273">
      <c r="A273" s="72"/>
      <c r="C273" s="73"/>
      <c r="D273" s="50"/>
      <c r="F273" s="50"/>
      <c r="H273" s="50"/>
    </row>
    <row r="274">
      <c r="A274" s="72"/>
      <c r="C274" s="73"/>
      <c r="D274" s="50"/>
      <c r="F274" s="50"/>
      <c r="H274" s="50"/>
    </row>
    <row r="275">
      <c r="A275" s="72"/>
      <c r="C275" s="73"/>
      <c r="D275" s="50"/>
      <c r="F275" s="50"/>
      <c r="H275" s="50"/>
    </row>
    <row r="276">
      <c r="A276" s="72"/>
      <c r="C276" s="73"/>
      <c r="D276" s="50"/>
      <c r="F276" s="50"/>
      <c r="H276" s="50"/>
    </row>
    <row r="277">
      <c r="A277" s="72"/>
      <c r="C277" s="73"/>
      <c r="D277" s="50"/>
      <c r="F277" s="50"/>
      <c r="H277" s="50"/>
    </row>
    <row r="278">
      <c r="A278" s="72"/>
      <c r="C278" s="73"/>
      <c r="D278" s="50"/>
      <c r="F278" s="50"/>
      <c r="H278" s="50"/>
    </row>
    <row r="279">
      <c r="A279" s="72"/>
      <c r="C279" s="73"/>
      <c r="D279" s="50"/>
      <c r="F279" s="50"/>
      <c r="H279" s="50"/>
    </row>
    <row r="280">
      <c r="A280" s="72"/>
      <c r="C280" s="73"/>
      <c r="D280" s="50"/>
      <c r="F280" s="50"/>
      <c r="H280" s="50"/>
    </row>
    <row r="281">
      <c r="A281" s="72"/>
      <c r="C281" s="73"/>
      <c r="D281" s="50"/>
      <c r="F281" s="50"/>
      <c r="H281" s="50"/>
    </row>
    <row r="282">
      <c r="A282" s="72"/>
      <c r="C282" s="73"/>
      <c r="D282" s="50"/>
      <c r="F282" s="50"/>
      <c r="H282" s="50"/>
    </row>
    <row r="283">
      <c r="A283" s="72"/>
      <c r="C283" s="73"/>
      <c r="D283" s="50"/>
      <c r="F283" s="50"/>
      <c r="H283" s="50"/>
    </row>
    <row r="284">
      <c r="A284" s="72"/>
      <c r="C284" s="73"/>
      <c r="D284" s="50"/>
      <c r="F284" s="50"/>
      <c r="H284" s="50"/>
    </row>
    <row r="285">
      <c r="A285" s="72"/>
      <c r="C285" s="73"/>
      <c r="D285" s="50"/>
      <c r="F285" s="50"/>
      <c r="H285" s="50"/>
    </row>
    <row r="286">
      <c r="A286" s="72"/>
      <c r="C286" s="73"/>
      <c r="D286" s="50"/>
      <c r="F286" s="50"/>
      <c r="H286" s="50"/>
    </row>
    <row r="287">
      <c r="A287" s="72"/>
      <c r="C287" s="73"/>
      <c r="D287" s="50"/>
      <c r="F287" s="50"/>
      <c r="H287" s="50"/>
    </row>
    <row r="288">
      <c r="A288" s="72"/>
      <c r="C288" s="73"/>
      <c r="D288" s="50"/>
      <c r="F288" s="50"/>
      <c r="H288" s="50"/>
    </row>
    <row r="289">
      <c r="A289" s="72"/>
      <c r="C289" s="73"/>
      <c r="D289" s="50"/>
      <c r="F289" s="50"/>
      <c r="H289" s="50"/>
    </row>
    <row r="290">
      <c r="A290" s="72"/>
      <c r="C290" s="73"/>
      <c r="D290" s="50"/>
      <c r="F290" s="50"/>
      <c r="H290" s="50"/>
    </row>
    <row r="291">
      <c r="A291" s="72"/>
      <c r="C291" s="73"/>
      <c r="D291" s="50"/>
      <c r="F291" s="50"/>
      <c r="H291" s="50"/>
    </row>
    <row r="292">
      <c r="A292" s="72"/>
      <c r="C292" s="73"/>
      <c r="D292" s="50"/>
      <c r="F292" s="50"/>
      <c r="H292" s="50"/>
    </row>
    <row r="293">
      <c r="A293" s="72"/>
      <c r="C293" s="73"/>
      <c r="D293" s="50"/>
      <c r="F293" s="50"/>
      <c r="H293" s="50"/>
    </row>
    <row r="294">
      <c r="A294" s="72"/>
      <c r="C294" s="73"/>
      <c r="D294" s="50"/>
      <c r="F294" s="50"/>
      <c r="H294" s="50"/>
    </row>
    <row r="295">
      <c r="A295" s="72"/>
      <c r="C295" s="73"/>
      <c r="D295" s="50"/>
      <c r="F295" s="50"/>
      <c r="H295" s="50"/>
    </row>
    <row r="296">
      <c r="A296" s="72"/>
      <c r="C296" s="73"/>
      <c r="D296" s="50"/>
      <c r="F296" s="50"/>
      <c r="H296" s="50"/>
    </row>
    <row r="297">
      <c r="A297" s="72"/>
      <c r="C297" s="73"/>
      <c r="D297" s="50"/>
      <c r="F297" s="50"/>
      <c r="H297" s="50"/>
    </row>
    <row r="298">
      <c r="A298" s="72"/>
      <c r="C298" s="73"/>
      <c r="D298" s="50"/>
      <c r="F298" s="50"/>
      <c r="H298" s="50"/>
    </row>
    <row r="299">
      <c r="A299" s="72"/>
      <c r="C299" s="73"/>
      <c r="D299" s="50"/>
      <c r="F299" s="50"/>
      <c r="H299" s="50"/>
    </row>
    <row r="300">
      <c r="A300" s="72"/>
      <c r="C300" s="73"/>
      <c r="D300" s="50"/>
      <c r="F300" s="50"/>
      <c r="H300" s="50"/>
    </row>
    <row r="301">
      <c r="A301" s="72"/>
      <c r="C301" s="73"/>
      <c r="D301" s="50"/>
      <c r="F301" s="50"/>
      <c r="H301" s="50"/>
    </row>
    <row r="302">
      <c r="A302" s="72"/>
      <c r="C302" s="73"/>
      <c r="D302" s="50"/>
      <c r="F302" s="50"/>
      <c r="H302" s="50"/>
    </row>
    <row r="303">
      <c r="A303" s="72"/>
      <c r="C303" s="73"/>
      <c r="D303" s="50"/>
      <c r="F303" s="50"/>
      <c r="H303" s="50"/>
    </row>
    <row r="304">
      <c r="A304" s="72"/>
      <c r="C304" s="73"/>
      <c r="D304" s="50"/>
      <c r="F304" s="50"/>
      <c r="H304" s="50"/>
    </row>
    <row r="305">
      <c r="A305" s="72"/>
      <c r="C305" s="73"/>
      <c r="D305" s="50"/>
      <c r="F305" s="50"/>
      <c r="H305" s="50"/>
    </row>
    <row r="306">
      <c r="A306" s="72"/>
      <c r="C306" s="73"/>
      <c r="D306" s="50"/>
      <c r="F306" s="50"/>
      <c r="H306" s="50"/>
    </row>
    <row r="307">
      <c r="A307" s="72"/>
      <c r="C307" s="73"/>
      <c r="D307" s="50"/>
      <c r="F307" s="50"/>
      <c r="H307" s="50"/>
    </row>
    <row r="308">
      <c r="A308" s="72"/>
      <c r="C308" s="73"/>
      <c r="D308" s="50"/>
      <c r="F308" s="50"/>
      <c r="H308" s="50"/>
    </row>
    <row r="309">
      <c r="A309" s="72"/>
      <c r="C309" s="73"/>
      <c r="D309" s="50"/>
      <c r="F309" s="50"/>
      <c r="H309" s="50"/>
    </row>
    <row r="310">
      <c r="A310" s="72"/>
      <c r="C310" s="73"/>
      <c r="D310" s="50"/>
      <c r="F310" s="50"/>
      <c r="H310" s="50"/>
    </row>
    <row r="311">
      <c r="A311" s="72"/>
      <c r="C311" s="73"/>
      <c r="D311" s="50"/>
      <c r="F311" s="50"/>
      <c r="H311" s="50"/>
    </row>
    <row r="312">
      <c r="A312" s="72"/>
      <c r="C312" s="73"/>
      <c r="D312" s="50"/>
      <c r="F312" s="50"/>
      <c r="H312" s="50"/>
    </row>
    <row r="313">
      <c r="A313" s="72"/>
      <c r="C313" s="73"/>
      <c r="D313" s="50"/>
      <c r="F313" s="50"/>
      <c r="H313" s="50"/>
    </row>
    <row r="314">
      <c r="A314" s="72"/>
      <c r="C314" s="73"/>
      <c r="D314" s="50"/>
      <c r="F314" s="50"/>
      <c r="H314" s="50"/>
    </row>
    <row r="315">
      <c r="A315" s="72"/>
      <c r="C315" s="73"/>
      <c r="D315" s="50"/>
      <c r="F315" s="50"/>
      <c r="H315" s="50"/>
    </row>
    <row r="316">
      <c r="A316" s="72"/>
      <c r="C316" s="73"/>
      <c r="D316" s="50"/>
      <c r="F316" s="50"/>
      <c r="H316" s="50"/>
    </row>
    <row r="317">
      <c r="A317" s="72"/>
      <c r="C317" s="73"/>
      <c r="D317" s="50"/>
      <c r="F317" s="50"/>
      <c r="H317" s="50"/>
    </row>
    <row r="318">
      <c r="A318" s="72"/>
      <c r="C318" s="73"/>
      <c r="D318" s="50"/>
      <c r="F318" s="50"/>
      <c r="H318" s="50"/>
    </row>
    <row r="319">
      <c r="A319" s="72"/>
      <c r="C319" s="73"/>
      <c r="D319" s="50"/>
      <c r="F319" s="50"/>
      <c r="H319" s="50"/>
    </row>
    <row r="320">
      <c r="A320" s="72"/>
      <c r="C320" s="73"/>
      <c r="D320" s="50"/>
      <c r="F320" s="50"/>
      <c r="H320" s="50"/>
    </row>
    <row r="321">
      <c r="A321" s="72"/>
      <c r="C321" s="73"/>
      <c r="D321" s="50"/>
      <c r="F321" s="50"/>
      <c r="H321" s="50"/>
    </row>
    <row r="322">
      <c r="A322" s="72"/>
      <c r="C322" s="73"/>
      <c r="D322" s="50"/>
      <c r="F322" s="50"/>
      <c r="H322" s="50"/>
    </row>
    <row r="323">
      <c r="A323" s="72"/>
      <c r="C323" s="73"/>
      <c r="D323" s="50"/>
      <c r="F323" s="50"/>
      <c r="H323" s="50"/>
    </row>
    <row r="324">
      <c r="A324" s="72"/>
      <c r="C324" s="73"/>
      <c r="D324" s="50"/>
      <c r="F324" s="50"/>
      <c r="H324" s="50"/>
    </row>
    <row r="325">
      <c r="A325" s="72"/>
      <c r="C325" s="73"/>
      <c r="D325" s="50"/>
      <c r="F325" s="50"/>
      <c r="H325" s="50"/>
    </row>
    <row r="326">
      <c r="A326" s="72"/>
      <c r="C326" s="73"/>
      <c r="D326" s="50"/>
      <c r="F326" s="50"/>
      <c r="H326" s="50"/>
    </row>
    <row r="327">
      <c r="A327" s="72"/>
      <c r="C327" s="73"/>
      <c r="D327" s="50"/>
      <c r="F327" s="50"/>
      <c r="H327" s="50"/>
    </row>
    <row r="328">
      <c r="A328" s="72"/>
      <c r="C328" s="73"/>
      <c r="D328" s="50"/>
      <c r="F328" s="50"/>
      <c r="H328" s="50"/>
    </row>
    <row r="329">
      <c r="A329" s="72"/>
      <c r="C329" s="73"/>
      <c r="D329" s="50"/>
      <c r="F329" s="50"/>
      <c r="H329" s="50"/>
    </row>
    <row r="330">
      <c r="A330" s="72"/>
      <c r="C330" s="73"/>
      <c r="D330" s="50"/>
      <c r="F330" s="50"/>
      <c r="H330" s="50"/>
    </row>
    <row r="331">
      <c r="A331" s="72"/>
      <c r="C331" s="73"/>
      <c r="D331" s="50"/>
      <c r="F331" s="50"/>
      <c r="H331" s="50"/>
    </row>
    <row r="332">
      <c r="A332" s="72"/>
      <c r="C332" s="73"/>
      <c r="D332" s="50"/>
      <c r="F332" s="50"/>
      <c r="H332" s="50"/>
    </row>
    <row r="333">
      <c r="A333" s="72"/>
      <c r="C333" s="73"/>
      <c r="D333" s="50"/>
      <c r="F333" s="50"/>
      <c r="H333" s="50"/>
    </row>
    <row r="334">
      <c r="A334" s="72"/>
      <c r="C334" s="73"/>
      <c r="D334" s="50"/>
      <c r="F334" s="50"/>
      <c r="H334" s="50"/>
    </row>
    <row r="335">
      <c r="A335" s="72"/>
      <c r="C335" s="73"/>
      <c r="D335" s="50"/>
      <c r="F335" s="50"/>
      <c r="H335" s="50"/>
    </row>
    <row r="336">
      <c r="A336" s="72"/>
      <c r="C336" s="73"/>
      <c r="D336" s="50"/>
      <c r="F336" s="50"/>
      <c r="H336" s="50"/>
    </row>
    <row r="337">
      <c r="A337" s="72"/>
      <c r="C337" s="73"/>
      <c r="D337" s="50"/>
      <c r="F337" s="50"/>
      <c r="H337" s="50"/>
    </row>
    <row r="338">
      <c r="A338" s="72"/>
      <c r="C338" s="73"/>
      <c r="D338" s="50"/>
      <c r="F338" s="50"/>
      <c r="H338" s="50"/>
    </row>
    <row r="339">
      <c r="A339" s="72"/>
      <c r="C339" s="73"/>
      <c r="D339" s="50"/>
      <c r="F339" s="50"/>
      <c r="H339" s="50"/>
    </row>
    <row r="340">
      <c r="A340" s="72"/>
      <c r="C340" s="73"/>
      <c r="D340" s="50"/>
      <c r="F340" s="50"/>
      <c r="H340" s="50"/>
    </row>
    <row r="341">
      <c r="A341" s="72"/>
      <c r="C341" s="73"/>
      <c r="D341" s="50"/>
      <c r="F341" s="50"/>
      <c r="H341" s="50"/>
    </row>
    <row r="342">
      <c r="A342" s="72"/>
      <c r="C342" s="73"/>
      <c r="D342" s="50"/>
      <c r="F342" s="50"/>
      <c r="H342" s="50"/>
    </row>
    <row r="343">
      <c r="A343" s="72"/>
      <c r="C343" s="73"/>
      <c r="D343" s="50"/>
      <c r="F343" s="50"/>
      <c r="H343" s="50"/>
    </row>
    <row r="344">
      <c r="A344" s="72"/>
      <c r="C344" s="73"/>
      <c r="D344" s="50"/>
      <c r="F344" s="50"/>
      <c r="H344" s="50"/>
    </row>
    <row r="345">
      <c r="A345" s="72"/>
      <c r="C345" s="73"/>
      <c r="D345" s="50"/>
      <c r="F345" s="50"/>
      <c r="H345" s="50"/>
    </row>
    <row r="346">
      <c r="A346" s="72"/>
      <c r="C346" s="73"/>
      <c r="D346" s="50"/>
      <c r="F346" s="50"/>
      <c r="H346" s="50"/>
    </row>
    <row r="347">
      <c r="A347" s="72"/>
      <c r="C347" s="73"/>
      <c r="D347" s="50"/>
      <c r="F347" s="50"/>
      <c r="H347" s="50"/>
    </row>
    <row r="348">
      <c r="A348" s="72"/>
      <c r="C348" s="73"/>
      <c r="D348" s="50"/>
      <c r="F348" s="50"/>
      <c r="H348" s="50"/>
    </row>
    <row r="349">
      <c r="A349" s="72"/>
      <c r="C349" s="73"/>
      <c r="D349" s="50"/>
      <c r="F349" s="50"/>
      <c r="H349" s="50"/>
    </row>
    <row r="350">
      <c r="A350" s="72"/>
      <c r="C350" s="73"/>
      <c r="D350" s="50"/>
      <c r="F350" s="50"/>
      <c r="H350" s="50"/>
    </row>
    <row r="351">
      <c r="A351" s="72"/>
      <c r="C351" s="73"/>
      <c r="D351" s="50"/>
      <c r="F351" s="50"/>
      <c r="H351" s="50"/>
    </row>
    <row r="352">
      <c r="A352" s="72"/>
      <c r="C352" s="73"/>
      <c r="D352" s="50"/>
      <c r="F352" s="50"/>
      <c r="H352" s="50"/>
    </row>
    <row r="353">
      <c r="A353" s="72"/>
      <c r="C353" s="73"/>
      <c r="D353" s="50"/>
      <c r="F353" s="50"/>
      <c r="H353" s="50"/>
    </row>
    <row r="354">
      <c r="A354" s="72"/>
      <c r="C354" s="73"/>
      <c r="D354" s="50"/>
      <c r="F354" s="50"/>
      <c r="H354" s="50"/>
    </row>
    <row r="355">
      <c r="A355" s="72"/>
      <c r="C355" s="73"/>
      <c r="D355" s="50"/>
      <c r="F355" s="50"/>
      <c r="H355" s="50"/>
    </row>
    <row r="356">
      <c r="A356" s="72"/>
      <c r="C356" s="73"/>
      <c r="D356" s="50"/>
      <c r="F356" s="50"/>
      <c r="H356" s="50"/>
    </row>
    <row r="357">
      <c r="A357" s="72"/>
      <c r="C357" s="73"/>
      <c r="D357" s="50"/>
      <c r="F357" s="50"/>
      <c r="H357" s="50"/>
    </row>
    <row r="358">
      <c r="A358" s="72"/>
      <c r="C358" s="73"/>
      <c r="D358" s="50"/>
      <c r="F358" s="50"/>
      <c r="H358" s="50"/>
    </row>
    <row r="359">
      <c r="A359" s="72"/>
      <c r="C359" s="73"/>
      <c r="D359" s="50"/>
      <c r="F359" s="50"/>
      <c r="H359" s="50"/>
    </row>
    <row r="360">
      <c r="A360" s="72"/>
      <c r="C360" s="73"/>
      <c r="D360" s="50"/>
      <c r="F360" s="50"/>
      <c r="H360" s="50"/>
    </row>
    <row r="361">
      <c r="A361" s="72"/>
      <c r="C361" s="73"/>
      <c r="D361" s="50"/>
      <c r="F361" s="50"/>
      <c r="H361" s="50"/>
    </row>
    <row r="362">
      <c r="A362" s="72"/>
      <c r="C362" s="73"/>
      <c r="D362" s="50"/>
      <c r="F362" s="50"/>
      <c r="H362" s="50"/>
    </row>
    <row r="363">
      <c r="A363" s="72"/>
      <c r="C363" s="73"/>
      <c r="D363" s="50"/>
      <c r="F363" s="50"/>
      <c r="H363" s="50"/>
    </row>
    <row r="364">
      <c r="A364" s="72"/>
      <c r="C364" s="73"/>
      <c r="D364" s="50"/>
      <c r="F364" s="50"/>
      <c r="H364" s="50"/>
    </row>
    <row r="365">
      <c r="A365" s="72"/>
      <c r="C365" s="73"/>
      <c r="D365" s="50"/>
      <c r="F365" s="50"/>
      <c r="H365" s="50"/>
    </row>
    <row r="366">
      <c r="A366" s="72"/>
      <c r="C366" s="73"/>
      <c r="D366" s="50"/>
      <c r="F366" s="50"/>
      <c r="H366" s="50"/>
    </row>
    <row r="367">
      <c r="A367" s="72"/>
      <c r="C367" s="73"/>
      <c r="D367" s="50"/>
      <c r="F367" s="50"/>
      <c r="H367" s="50"/>
    </row>
    <row r="368">
      <c r="A368" s="72"/>
      <c r="C368" s="73"/>
      <c r="D368" s="50"/>
      <c r="F368" s="50"/>
      <c r="H368" s="50"/>
    </row>
    <row r="369">
      <c r="A369" s="72"/>
      <c r="C369" s="73"/>
      <c r="D369" s="50"/>
      <c r="F369" s="50"/>
      <c r="H369" s="50"/>
    </row>
    <row r="370">
      <c r="A370" s="72"/>
      <c r="C370" s="73"/>
      <c r="D370" s="50"/>
      <c r="F370" s="50"/>
      <c r="H370" s="50"/>
    </row>
    <row r="371">
      <c r="A371" s="72"/>
      <c r="C371" s="73"/>
      <c r="D371" s="50"/>
      <c r="F371" s="50"/>
      <c r="H371" s="50"/>
    </row>
    <row r="372">
      <c r="A372" s="72"/>
      <c r="C372" s="73"/>
      <c r="D372" s="50"/>
      <c r="F372" s="50"/>
      <c r="H372" s="50"/>
    </row>
    <row r="373">
      <c r="A373" s="72"/>
      <c r="C373" s="73"/>
      <c r="D373" s="50"/>
      <c r="F373" s="50"/>
      <c r="H373" s="50"/>
    </row>
    <row r="374">
      <c r="A374" s="72"/>
      <c r="C374" s="73"/>
      <c r="D374" s="50"/>
      <c r="F374" s="50"/>
      <c r="H374" s="50"/>
    </row>
    <row r="375">
      <c r="A375" s="72"/>
      <c r="C375" s="73"/>
      <c r="D375" s="50"/>
      <c r="F375" s="50"/>
      <c r="H375" s="50"/>
    </row>
    <row r="376">
      <c r="A376" s="72"/>
      <c r="C376" s="73"/>
      <c r="D376" s="50"/>
      <c r="F376" s="50"/>
      <c r="H376" s="50"/>
    </row>
    <row r="377">
      <c r="A377" s="72"/>
      <c r="C377" s="73"/>
      <c r="D377" s="50"/>
      <c r="F377" s="50"/>
      <c r="H377" s="50"/>
    </row>
    <row r="378">
      <c r="A378" s="72"/>
      <c r="C378" s="73"/>
      <c r="D378" s="50"/>
      <c r="F378" s="50"/>
      <c r="H378" s="50"/>
    </row>
    <row r="379">
      <c r="A379" s="72"/>
      <c r="C379" s="73"/>
      <c r="D379" s="50"/>
      <c r="F379" s="50"/>
      <c r="H379" s="50"/>
    </row>
    <row r="380">
      <c r="A380" s="72"/>
      <c r="C380" s="73"/>
      <c r="D380" s="50"/>
      <c r="F380" s="50"/>
      <c r="H380" s="50"/>
    </row>
    <row r="381">
      <c r="A381" s="72"/>
      <c r="C381" s="73"/>
      <c r="D381" s="50"/>
      <c r="F381" s="50"/>
      <c r="H381" s="50"/>
    </row>
    <row r="382">
      <c r="A382" s="72"/>
      <c r="C382" s="73"/>
      <c r="D382" s="50"/>
      <c r="F382" s="50"/>
      <c r="H382" s="50"/>
    </row>
    <row r="383">
      <c r="A383" s="72"/>
      <c r="C383" s="73"/>
      <c r="D383" s="50"/>
      <c r="F383" s="50"/>
      <c r="H383" s="50"/>
    </row>
    <row r="384">
      <c r="A384" s="72"/>
      <c r="C384" s="73"/>
      <c r="D384" s="50"/>
      <c r="F384" s="50"/>
      <c r="H384" s="50"/>
    </row>
    <row r="385">
      <c r="A385" s="72"/>
      <c r="C385" s="73"/>
      <c r="D385" s="50"/>
      <c r="F385" s="50"/>
      <c r="H385" s="50"/>
    </row>
    <row r="386">
      <c r="A386" s="72"/>
      <c r="C386" s="73"/>
      <c r="D386" s="50"/>
      <c r="F386" s="50"/>
      <c r="H386" s="50"/>
    </row>
    <row r="387">
      <c r="A387" s="72"/>
      <c r="C387" s="73"/>
      <c r="D387" s="50"/>
      <c r="F387" s="50"/>
      <c r="H387" s="50"/>
    </row>
    <row r="388">
      <c r="A388" s="72"/>
      <c r="C388" s="73"/>
      <c r="D388" s="50"/>
      <c r="F388" s="50"/>
      <c r="H388" s="50"/>
    </row>
    <row r="389">
      <c r="A389" s="72"/>
      <c r="C389" s="73"/>
      <c r="D389" s="50"/>
      <c r="F389" s="50"/>
      <c r="H389" s="50"/>
    </row>
    <row r="390">
      <c r="A390" s="72"/>
      <c r="C390" s="73"/>
      <c r="D390" s="50"/>
      <c r="F390" s="50"/>
      <c r="H390" s="50"/>
    </row>
    <row r="391">
      <c r="A391" s="72"/>
      <c r="C391" s="73"/>
      <c r="D391" s="50"/>
      <c r="F391" s="50"/>
      <c r="H391" s="50"/>
    </row>
    <row r="392">
      <c r="A392" s="72"/>
      <c r="C392" s="73"/>
      <c r="D392" s="50"/>
      <c r="F392" s="50"/>
      <c r="H392" s="50"/>
    </row>
    <row r="393">
      <c r="A393" s="72"/>
      <c r="C393" s="73"/>
      <c r="D393" s="50"/>
      <c r="F393" s="50"/>
      <c r="H393" s="50"/>
    </row>
    <row r="394">
      <c r="A394" s="72"/>
      <c r="C394" s="73"/>
      <c r="D394" s="50"/>
      <c r="F394" s="50"/>
      <c r="H394" s="50"/>
    </row>
    <row r="395">
      <c r="A395" s="72"/>
      <c r="C395" s="73"/>
      <c r="D395" s="50"/>
      <c r="F395" s="50"/>
      <c r="H395" s="50"/>
    </row>
    <row r="396">
      <c r="A396" s="72"/>
      <c r="C396" s="73"/>
      <c r="D396" s="50"/>
      <c r="F396" s="50"/>
      <c r="H396" s="50"/>
    </row>
    <row r="397">
      <c r="A397" s="72"/>
      <c r="C397" s="73"/>
      <c r="D397" s="50"/>
      <c r="F397" s="50"/>
      <c r="H397" s="50"/>
    </row>
    <row r="398">
      <c r="A398" s="72"/>
      <c r="C398" s="73"/>
      <c r="D398" s="50"/>
      <c r="F398" s="50"/>
      <c r="H398" s="50"/>
    </row>
    <row r="399">
      <c r="A399" s="72"/>
      <c r="C399" s="73"/>
      <c r="D399" s="50"/>
      <c r="F399" s="50"/>
      <c r="H399" s="50"/>
    </row>
    <row r="400">
      <c r="A400" s="72"/>
      <c r="C400" s="73"/>
      <c r="D400" s="50"/>
      <c r="F400" s="50"/>
      <c r="H400" s="50"/>
    </row>
    <row r="401">
      <c r="A401" s="72"/>
      <c r="C401" s="73"/>
      <c r="D401" s="50"/>
      <c r="F401" s="50"/>
      <c r="H401" s="50"/>
    </row>
    <row r="402">
      <c r="A402" s="72"/>
      <c r="C402" s="73"/>
      <c r="D402" s="50"/>
      <c r="F402" s="50"/>
      <c r="H402" s="50"/>
    </row>
    <row r="403">
      <c r="A403" s="72"/>
      <c r="C403" s="73"/>
      <c r="D403" s="50"/>
      <c r="F403" s="50"/>
      <c r="H403" s="50"/>
    </row>
    <row r="404">
      <c r="A404" s="72"/>
      <c r="C404" s="73"/>
      <c r="D404" s="50"/>
      <c r="F404" s="50"/>
      <c r="H404" s="50"/>
    </row>
    <row r="405">
      <c r="A405" s="72"/>
      <c r="C405" s="73"/>
      <c r="D405" s="50"/>
      <c r="F405" s="50"/>
      <c r="H405" s="50"/>
    </row>
    <row r="406">
      <c r="A406" s="72"/>
      <c r="C406" s="73"/>
      <c r="D406" s="50"/>
      <c r="F406" s="50"/>
      <c r="H406" s="50"/>
    </row>
    <row r="407">
      <c r="A407" s="72"/>
      <c r="C407" s="73"/>
      <c r="D407" s="50"/>
      <c r="F407" s="50"/>
      <c r="H407" s="50"/>
    </row>
    <row r="408">
      <c r="A408" s="72"/>
      <c r="C408" s="73"/>
      <c r="D408" s="50"/>
      <c r="F408" s="50"/>
      <c r="H408" s="50"/>
    </row>
    <row r="409">
      <c r="A409" s="72"/>
      <c r="C409" s="73"/>
      <c r="D409" s="50"/>
      <c r="F409" s="50"/>
      <c r="H409" s="50"/>
    </row>
    <row r="410">
      <c r="A410" s="72"/>
      <c r="C410" s="73"/>
      <c r="D410" s="50"/>
      <c r="F410" s="50"/>
      <c r="H410" s="50"/>
    </row>
    <row r="411">
      <c r="A411" s="72"/>
      <c r="C411" s="73"/>
      <c r="D411" s="50"/>
      <c r="F411" s="50"/>
      <c r="H411" s="50"/>
    </row>
    <row r="412">
      <c r="A412" s="72"/>
      <c r="C412" s="73"/>
      <c r="D412" s="50"/>
      <c r="F412" s="50"/>
      <c r="H412" s="50"/>
    </row>
    <row r="413">
      <c r="A413" s="72"/>
      <c r="C413" s="73"/>
      <c r="D413" s="50"/>
      <c r="F413" s="50"/>
      <c r="H413" s="50"/>
    </row>
    <row r="414">
      <c r="A414" s="72"/>
      <c r="C414" s="73"/>
      <c r="D414" s="50"/>
      <c r="F414" s="50"/>
      <c r="H414" s="50"/>
    </row>
    <row r="415">
      <c r="A415" s="72"/>
      <c r="C415" s="73"/>
      <c r="D415" s="50"/>
      <c r="F415" s="50"/>
      <c r="H415" s="50"/>
    </row>
    <row r="416">
      <c r="A416" s="72"/>
      <c r="C416" s="73"/>
      <c r="D416" s="50"/>
      <c r="F416" s="50"/>
      <c r="H416" s="50"/>
    </row>
    <row r="417">
      <c r="A417" s="72"/>
      <c r="C417" s="73"/>
      <c r="D417" s="50"/>
      <c r="F417" s="50"/>
      <c r="H417" s="50"/>
    </row>
    <row r="418">
      <c r="A418" s="72"/>
      <c r="C418" s="73"/>
      <c r="D418" s="50"/>
      <c r="F418" s="50"/>
      <c r="H418" s="50"/>
    </row>
    <row r="419">
      <c r="A419" s="72"/>
      <c r="C419" s="73"/>
      <c r="D419" s="50"/>
      <c r="F419" s="50"/>
      <c r="H419" s="50"/>
    </row>
    <row r="420">
      <c r="A420" s="72"/>
      <c r="C420" s="73"/>
      <c r="D420" s="50"/>
      <c r="F420" s="50"/>
      <c r="H420" s="50"/>
    </row>
    <row r="421">
      <c r="A421" s="72"/>
      <c r="C421" s="73"/>
      <c r="D421" s="50"/>
      <c r="F421" s="50"/>
      <c r="H421" s="50"/>
    </row>
    <row r="422">
      <c r="A422" s="72"/>
      <c r="C422" s="73"/>
      <c r="D422" s="50"/>
      <c r="F422" s="50"/>
      <c r="H422" s="50"/>
    </row>
    <row r="423">
      <c r="A423" s="72"/>
      <c r="C423" s="73"/>
      <c r="D423" s="50"/>
      <c r="F423" s="50"/>
      <c r="H423" s="50"/>
    </row>
    <row r="424">
      <c r="A424" s="72"/>
      <c r="C424" s="73"/>
      <c r="D424" s="50"/>
      <c r="F424" s="50"/>
      <c r="H424" s="50"/>
    </row>
    <row r="425">
      <c r="A425" s="72"/>
      <c r="C425" s="73"/>
      <c r="D425" s="50"/>
      <c r="F425" s="50"/>
      <c r="H425" s="50"/>
    </row>
    <row r="426">
      <c r="A426" s="72"/>
      <c r="C426" s="73"/>
      <c r="D426" s="50"/>
      <c r="F426" s="50"/>
      <c r="H426" s="50"/>
    </row>
    <row r="427">
      <c r="A427" s="72"/>
      <c r="C427" s="73"/>
      <c r="D427" s="50"/>
      <c r="F427" s="50"/>
      <c r="H427" s="50"/>
    </row>
    <row r="428">
      <c r="A428" s="72"/>
      <c r="C428" s="73"/>
      <c r="D428" s="50"/>
      <c r="F428" s="50"/>
      <c r="H428" s="50"/>
    </row>
    <row r="429">
      <c r="A429" s="72"/>
      <c r="C429" s="73"/>
      <c r="D429" s="50"/>
      <c r="F429" s="50"/>
      <c r="H429" s="50"/>
    </row>
    <row r="430">
      <c r="A430" s="72"/>
      <c r="C430" s="73"/>
      <c r="D430" s="50"/>
      <c r="F430" s="50"/>
      <c r="H430" s="50"/>
    </row>
    <row r="431">
      <c r="A431" s="72"/>
      <c r="C431" s="73"/>
      <c r="D431" s="50"/>
      <c r="F431" s="50"/>
      <c r="H431" s="50"/>
    </row>
    <row r="432">
      <c r="A432" s="72"/>
      <c r="C432" s="73"/>
      <c r="D432" s="50"/>
      <c r="F432" s="50"/>
      <c r="H432" s="50"/>
    </row>
    <row r="433">
      <c r="A433" s="72"/>
      <c r="C433" s="73"/>
      <c r="D433" s="50"/>
      <c r="F433" s="50"/>
      <c r="H433" s="50"/>
    </row>
    <row r="434">
      <c r="A434" s="72"/>
      <c r="C434" s="73"/>
      <c r="D434" s="50"/>
      <c r="F434" s="50"/>
      <c r="H434" s="50"/>
    </row>
    <row r="435">
      <c r="A435" s="72"/>
      <c r="C435" s="73"/>
      <c r="D435" s="50"/>
      <c r="F435" s="50"/>
      <c r="H435" s="50"/>
    </row>
    <row r="436">
      <c r="A436" s="72"/>
      <c r="C436" s="73"/>
      <c r="D436" s="50"/>
      <c r="F436" s="50"/>
      <c r="H436" s="50"/>
    </row>
    <row r="437">
      <c r="A437" s="72"/>
      <c r="C437" s="73"/>
      <c r="D437" s="50"/>
      <c r="F437" s="50"/>
      <c r="H437" s="50"/>
    </row>
    <row r="438">
      <c r="A438" s="72"/>
      <c r="C438" s="73"/>
      <c r="D438" s="50"/>
      <c r="F438" s="50"/>
      <c r="H438" s="50"/>
    </row>
    <row r="439">
      <c r="A439" s="72"/>
      <c r="C439" s="73"/>
      <c r="D439" s="50"/>
      <c r="F439" s="50"/>
      <c r="H439" s="50"/>
    </row>
    <row r="440">
      <c r="A440" s="72"/>
      <c r="C440" s="73"/>
      <c r="D440" s="50"/>
      <c r="F440" s="50"/>
      <c r="H440" s="50"/>
    </row>
    <row r="441">
      <c r="A441" s="72"/>
      <c r="C441" s="73"/>
      <c r="D441" s="50"/>
      <c r="F441" s="50"/>
      <c r="H441" s="50"/>
    </row>
    <row r="442">
      <c r="A442" s="72"/>
      <c r="C442" s="73"/>
      <c r="D442" s="50"/>
      <c r="F442" s="50"/>
      <c r="H442" s="50"/>
    </row>
    <row r="443">
      <c r="A443" s="72"/>
      <c r="C443" s="73"/>
      <c r="D443" s="50"/>
      <c r="F443" s="50"/>
      <c r="H443" s="50"/>
    </row>
    <row r="444">
      <c r="A444" s="72"/>
      <c r="C444" s="73"/>
      <c r="D444" s="50"/>
      <c r="F444" s="50"/>
      <c r="H444" s="50"/>
    </row>
    <row r="445">
      <c r="A445" s="72"/>
      <c r="C445" s="73"/>
      <c r="D445" s="50"/>
      <c r="F445" s="50"/>
      <c r="H445" s="50"/>
    </row>
    <row r="446">
      <c r="A446" s="72"/>
      <c r="C446" s="73"/>
      <c r="D446" s="50"/>
      <c r="F446" s="50"/>
      <c r="H446" s="50"/>
    </row>
    <row r="447">
      <c r="A447" s="72"/>
      <c r="C447" s="73"/>
      <c r="D447" s="50"/>
      <c r="F447" s="50"/>
      <c r="H447" s="50"/>
    </row>
    <row r="448">
      <c r="A448" s="72"/>
      <c r="C448" s="73"/>
      <c r="D448" s="50"/>
      <c r="F448" s="50"/>
      <c r="H448" s="50"/>
    </row>
    <row r="449">
      <c r="A449" s="72"/>
      <c r="C449" s="73"/>
      <c r="D449" s="50"/>
      <c r="F449" s="50"/>
      <c r="H449" s="50"/>
    </row>
    <row r="450">
      <c r="A450" s="72"/>
      <c r="C450" s="73"/>
      <c r="D450" s="50"/>
      <c r="F450" s="50"/>
      <c r="H450" s="50"/>
    </row>
    <row r="451">
      <c r="A451" s="72"/>
      <c r="C451" s="73"/>
      <c r="D451" s="50"/>
      <c r="F451" s="50"/>
      <c r="H451" s="50"/>
    </row>
    <row r="452">
      <c r="A452" s="72"/>
      <c r="C452" s="73"/>
      <c r="D452" s="50"/>
      <c r="F452" s="50"/>
      <c r="H452" s="50"/>
    </row>
    <row r="453">
      <c r="A453" s="72"/>
      <c r="C453" s="73"/>
      <c r="D453" s="50"/>
      <c r="F453" s="50"/>
      <c r="H453" s="50"/>
    </row>
    <row r="454">
      <c r="A454" s="72"/>
      <c r="C454" s="73"/>
      <c r="D454" s="50"/>
      <c r="F454" s="50"/>
      <c r="H454" s="50"/>
    </row>
    <row r="455">
      <c r="A455" s="72"/>
      <c r="C455" s="73"/>
      <c r="D455" s="50"/>
      <c r="F455" s="50"/>
      <c r="H455" s="50"/>
    </row>
    <row r="456">
      <c r="A456" s="72"/>
      <c r="C456" s="73"/>
      <c r="D456" s="50"/>
      <c r="F456" s="50"/>
      <c r="H456" s="50"/>
    </row>
    <row r="457">
      <c r="A457" s="72"/>
      <c r="C457" s="73"/>
      <c r="D457" s="50"/>
      <c r="F457" s="50"/>
      <c r="H457" s="50"/>
    </row>
    <row r="458">
      <c r="A458" s="72"/>
      <c r="C458" s="73"/>
      <c r="D458" s="50"/>
      <c r="F458" s="50"/>
      <c r="H458" s="50"/>
    </row>
    <row r="459">
      <c r="A459" s="72"/>
      <c r="C459" s="73"/>
      <c r="D459" s="50"/>
      <c r="F459" s="50"/>
      <c r="H459" s="50"/>
    </row>
    <row r="460">
      <c r="A460" s="72"/>
      <c r="C460" s="73"/>
      <c r="D460" s="50"/>
      <c r="F460" s="50"/>
      <c r="H460" s="50"/>
    </row>
    <row r="461">
      <c r="A461" s="72"/>
      <c r="C461" s="73"/>
      <c r="D461" s="50"/>
      <c r="F461" s="50"/>
      <c r="H461" s="50"/>
    </row>
    <row r="462">
      <c r="A462" s="72"/>
      <c r="C462" s="73"/>
      <c r="D462" s="50"/>
      <c r="F462" s="50"/>
      <c r="H462" s="50"/>
    </row>
    <row r="463">
      <c r="A463" s="72"/>
      <c r="C463" s="73"/>
      <c r="D463" s="50"/>
      <c r="F463" s="50"/>
      <c r="H463" s="50"/>
    </row>
    <row r="464">
      <c r="A464" s="72"/>
      <c r="C464" s="73"/>
      <c r="D464" s="50"/>
      <c r="F464" s="50"/>
      <c r="H464" s="50"/>
    </row>
    <row r="465">
      <c r="A465" s="72"/>
      <c r="C465" s="73"/>
      <c r="D465" s="50"/>
      <c r="F465" s="50"/>
      <c r="H465" s="50"/>
    </row>
    <row r="466">
      <c r="A466" s="72"/>
      <c r="C466" s="73"/>
      <c r="D466" s="50"/>
      <c r="F466" s="50"/>
      <c r="H466" s="50"/>
    </row>
    <row r="467">
      <c r="A467" s="72"/>
      <c r="C467" s="73"/>
      <c r="D467" s="50"/>
      <c r="F467" s="50"/>
      <c r="H467" s="50"/>
    </row>
    <row r="468">
      <c r="A468" s="72"/>
      <c r="C468" s="73"/>
      <c r="D468" s="50"/>
      <c r="F468" s="50"/>
      <c r="H468" s="50"/>
    </row>
    <row r="469">
      <c r="A469" s="72"/>
      <c r="C469" s="73"/>
      <c r="D469" s="50"/>
      <c r="F469" s="50"/>
      <c r="H469" s="50"/>
    </row>
    <row r="470">
      <c r="A470" s="72"/>
      <c r="C470" s="73"/>
      <c r="D470" s="50"/>
      <c r="F470" s="50"/>
      <c r="H470" s="50"/>
    </row>
    <row r="471">
      <c r="A471" s="72"/>
      <c r="C471" s="73"/>
      <c r="D471" s="50"/>
      <c r="F471" s="50"/>
      <c r="H471" s="50"/>
    </row>
    <row r="472">
      <c r="A472" s="72"/>
      <c r="C472" s="73"/>
      <c r="D472" s="50"/>
      <c r="F472" s="50"/>
      <c r="H472" s="50"/>
    </row>
    <row r="473">
      <c r="A473" s="72"/>
      <c r="C473" s="73"/>
      <c r="D473" s="50"/>
      <c r="F473" s="50"/>
      <c r="H473" s="50"/>
    </row>
    <row r="474">
      <c r="A474" s="72"/>
      <c r="C474" s="73"/>
      <c r="D474" s="50"/>
      <c r="F474" s="50"/>
      <c r="H474" s="50"/>
    </row>
    <row r="475">
      <c r="A475" s="72"/>
      <c r="C475" s="73"/>
      <c r="D475" s="50"/>
      <c r="F475" s="50"/>
      <c r="H475" s="50"/>
    </row>
    <row r="476">
      <c r="A476" s="72"/>
      <c r="C476" s="73"/>
      <c r="D476" s="50"/>
      <c r="F476" s="50"/>
      <c r="H476" s="50"/>
    </row>
    <row r="477">
      <c r="A477" s="72"/>
      <c r="C477" s="73"/>
      <c r="D477" s="50"/>
      <c r="F477" s="50"/>
      <c r="H477" s="50"/>
    </row>
    <row r="478">
      <c r="A478" s="72"/>
      <c r="C478" s="73"/>
      <c r="D478" s="50"/>
      <c r="F478" s="50"/>
      <c r="H478" s="50"/>
    </row>
    <row r="479">
      <c r="A479" s="72"/>
      <c r="C479" s="73"/>
      <c r="D479" s="50"/>
      <c r="F479" s="50"/>
      <c r="H479" s="50"/>
    </row>
    <row r="480">
      <c r="A480" s="72"/>
      <c r="C480" s="73"/>
      <c r="D480" s="50"/>
      <c r="F480" s="50"/>
      <c r="H480" s="50"/>
    </row>
    <row r="481">
      <c r="A481" s="72"/>
      <c r="C481" s="73"/>
      <c r="D481" s="50"/>
      <c r="F481" s="50"/>
      <c r="H481" s="50"/>
    </row>
    <row r="482">
      <c r="A482" s="72"/>
      <c r="C482" s="73"/>
      <c r="D482" s="50"/>
      <c r="F482" s="50"/>
      <c r="H482" s="50"/>
    </row>
    <row r="483">
      <c r="A483" s="72"/>
      <c r="C483" s="73"/>
      <c r="D483" s="50"/>
      <c r="F483" s="50"/>
      <c r="H483" s="50"/>
    </row>
    <row r="484">
      <c r="A484" s="72"/>
      <c r="C484" s="73"/>
      <c r="D484" s="50"/>
      <c r="F484" s="50"/>
      <c r="H484" s="50"/>
    </row>
    <row r="485">
      <c r="A485" s="72"/>
      <c r="C485" s="73"/>
      <c r="D485" s="50"/>
      <c r="F485" s="50"/>
      <c r="H485" s="50"/>
    </row>
    <row r="486">
      <c r="A486" s="72"/>
      <c r="C486" s="73"/>
      <c r="D486" s="50"/>
      <c r="F486" s="50"/>
      <c r="H486" s="50"/>
    </row>
    <row r="487">
      <c r="A487" s="72"/>
      <c r="C487" s="73"/>
      <c r="D487" s="50"/>
      <c r="F487" s="50"/>
      <c r="H487" s="50"/>
    </row>
    <row r="488">
      <c r="A488" s="72"/>
      <c r="C488" s="73"/>
      <c r="D488" s="50"/>
      <c r="F488" s="50"/>
      <c r="H488" s="50"/>
    </row>
    <row r="489">
      <c r="A489" s="72"/>
      <c r="C489" s="73"/>
      <c r="D489" s="50"/>
      <c r="F489" s="50"/>
      <c r="H489" s="50"/>
    </row>
    <row r="490">
      <c r="A490" s="72"/>
      <c r="C490" s="73"/>
      <c r="D490" s="50"/>
      <c r="F490" s="50"/>
      <c r="H490" s="50"/>
    </row>
    <row r="491">
      <c r="A491" s="72"/>
      <c r="C491" s="73"/>
      <c r="D491" s="50"/>
      <c r="F491" s="50"/>
      <c r="H491" s="50"/>
    </row>
    <row r="492">
      <c r="A492" s="72"/>
      <c r="C492" s="73"/>
      <c r="D492" s="50"/>
      <c r="F492" s="50"/>
      <c r="H492" s="50"/>
    </row>
    <row r="493">
      <c r="A493" s="72"/>
      <c r="C493" s="73"/>
      <c r="D493" s="50"/>
      <c r="F493" s="50"/>
      <c r="H493" s="50"/>
    </row>
    <row r="494">
      <c r="A494" s="72"/>
      <c r="C494" s="73"/>
      <c r="D494" s="50"/>
      <c r="F494" s="50"/>
      <c r="H494" s="50"/>
    </row>
    <row r="495">
      <c r="A495" s="72"/>
      <c r="C495" s="73"/>
      <c r="D495" s="50"/>
      <c r="F495" s="50"/>
      <c r="H495" s="50"/>
    </row>
    <row r="496">
      <c r="A496" s="72"/>
      <c r="C496" s="73"/>
      <c r="D496" s="50"/>
      <c r="F496" s="50"/>
      <c r="H496" s="50"/>
    </row>
    <row r="497">
      <c r="A497" s="72"/>
      <c r="C497" s="73"/>
      <c r="D497" s="50"/>
      <c r="F497" s="50"/>
      <c r="H497" s="50"/>
    </row>
    <row r="498">
      <c r="A498" s="72"/>
      <c r="C498" s="73"/>
      <c r="D498" s="50"/>
      <c r="F498" s="50"/>
      <c r="H498" s="50"/>
    </row>
    <row r="499">
      <c r="A499" s="72"/>
      <c r="C499" s="73"/>
      <c r="D499" s="50"/>
      <c r="F499" s="50"/>
      <c r="H499" s="50"/>
    </row>
    <row r="500">
      <c r="A500" s="72"/>
      <c r="C500" s="73"/>
      <c r="D500" s="50"/>
      <c r="F500" s="50"/>
      <c r="H500" s="50"/>
    </row>
    <row r="501">
      <c r="A501" s="72"/>
      <c r="C501" s="73"/>
      <c r="D501" s="50"/>
      <c r="F501" s="50"/>
      <c r="H501" s="50"/>
    </row>
    <row r="502">
      <c r="A502" s="72"/>
      <c r="C502" s="73"/>
      <c r="D502" s="50"/>
      <c r="F502" s="50"/>
      <c r="H502" s="50"/>
    </row>
    <row r="503">
      <c r="A503" s="72"/>
      <c r="C503" s="73"/>
      <c r="D503" s="50"/>
      <c r="F503" s="50"/>
      <c r="H503" s="50"/>
    </row>
    <row r="504">
      <c r="A504" s="72"/>
      <c r="C504" s="73"/>
      <c r="D504" s="50"/>
      <c r="F504" s="50"/>
      <c r="H504" s="50"/>
    </row>
    <row r="505">
      <c r="A505" s="72"/>
      <c r="C505" s="73"/>
      <c r="D505" s="50"/>
      <c r="F505" s="50"/>
      <c r="H505" s="50"/>
    </row>
    <row r="506">
      <c r="A506" s="72"/>
      <c r="C506" s="73"/>
      <c r="D506" s="50"/>
      <c r="F506" s="50"/>
      <c r="H506" s="50"/>
    </row>
    <row r="507">
      <c r="A507" s="72"/>
      <c r="C507" s="73"/>
      <c r="D507" s="50"/>
      <c r="F507" s="50"/>
      <c r="H507" s="50"/>
    </row>
    <row r="508">
      <c r="A508" s="72"/>
      <c r="C508" s="73"/>
      <c r="D508" s="50"/>
      <c r="F508" s="50"/>
      <c r="H508" s="50"/>
    </row>
    <row r="509">
      <c r="A509" s="72"/>
      <c r="C509" s="73"/>
      <c r="D509" s="50"/>
      <c r="F509" s="50"/>
      <c r="H509" s="50"/>
    </row>
    <row r="510">
      <c r="A510" s="72"/>
      <c r="C510" s="73"/>
      <c r="D510" s="50"/>
      <c r="F510" s="50"/>
      <c r="H510" s="50"/>
    </row>
    <row r="511">
      <c r="A511" s="72"/>
      <c r="C511" s="73"/>
      <c r="D511" s="50"/>
      <c r="F511" s="50"/>
      <c r="H511" s="50"/>
    </row>
    <row r="512">
      <c r="A512" s="72"/>
      <c r="C512" s="73"/>
      <c r="D512" s="50"/>
      <c r="F512" s="50"/>
      <c r="H512" s="50"/>
    </row>
    <row r="513">
      <c r="A513" s="72"/>
      <c r="C513" s="73"/>
      <c r="D513" s="50"/>
      <c r="F513" s="50"/>
      <c r="H513" s="50"/>
    </row>
    <row r="514">
      <c r="A514" s="72"/>
      <c r="C514" s="73"/>
      <c r="D514" s="50"/>
      <c r="F514" s="50"/>
      <c r="H514" s="50"/>
    </row>
    <row r="515">
      <c r="A515" s="72"/>
      <c r="C515" s="73"/>
      <c r="D515" s="50"/>
      <c r="F515" s="50"/>
      <c r="H515" s="50"/>
    </row>
    <row r="516">
      <c r="A516" s="72"/>
      <c r="C516" s="73"/>
      <c r="D516" s="50"/>
      <c r="F516" s="50"/>
      <c r="H516" s="50"/>
    </row>
    <row r="517">
      <c r="A517" s="72"/>
      <c r="C517" s="73"/>
      <c r="D517" s="50"/>
      <c r="F517" s="50"/>
      <c r="H517" s="50"/>
    </row>
    <row r="518">
      <c r="A518" s="72"/>
      <c r="C518" s="73"/>
      <c r="D518" s="50"/>
      <c r="F518" s="50"/>
      <c r="H518" s="50"/>
    </row>
    <row r="519">
      <c r="A519" s="72"/>
      <c r="C519" s="73"/>
      <c r="D519" s="50"/>
      <c r="F519" s="50"/>
      <c r="H519" s="50"/>
    </row>
    <row r="520">
      <c r="A520" s="72"/>
      <c r="C520" s="73"/>
      <c r="D520" s="50"/>
      <c r="F520" s="50"/>
      <c r="H520" s="50"/>
    </row>
    <row r="521">
      <c r="A521" s="72"/>
      <c r="C521" s="73"/>
      <c r="D521" s="50"/>
      <c r="F521" s="50"/>
      <c r="H521" s="50"/>
    </row>
    <row r="522">
      <c r="A522" s="72"/>
      <c r="C522" s="73"/>
      <c r="D522" s="50"/>
      <c r="F522" s="50"/>
      <c r="H522" s="50"/>
    </row>
    <row r="523">
      <c r="A523" s="72"/>
      <c r="C523" s="73"/>
      <c r="D523" s="50"/>
      <c r="F523" s="50"/>
      <c r="H523" s="50"/>
    </row>
    <row r="524">
      <c r="A524" s="72"/>
      <c r="C524" s="73"/>
      <c r="D524" s="50"/>
      <c r="F524" s="50"/>
      <c r="H524" s="50"/>
    </row>
    <row r="525">
      <c r="A525" s="72"/>
      <c r="C525" s="73"/>
      <c r="D525" s="50"/>
      <c r="F525" s="50"/>
      <c r="H525" s="50"/>
    </row>
    <row r="526">
      <c r="A526" s="72"/>
      <c r="C526" s="73"/>
      <c r="D526" s="50"/>
      <c r="F526" s="50"/>
      <c r="H526" s="50"/>
    </row>
    <row r="527">
      <c r="A527" s="72"/>
      <c r="C527" s="73"/>
      <c r="D527" s="50"/>
      <c r="F527" s="50"/>
      <c r="H527" s="50"/>
    </row>
    <row r="528">
      <c r="A528" s="72"/>
      <c r="C528" s="73"/>
      <c r="D528" s="50"/>
      <c r="F528" s="50"/>
      <c r="H528" s="50"/>
    </row>
    <row r="529">
      <c r="A529" s="72"/>
      <c r="C529" s="73"/>
      <c r="D529" s="50"/>
      <c r="F529" s="50"/>
      <c r="H529" s="50"/>
    </row>
    <row r="530">
      <c r="A530" s="72"/>
      <c r="C530" s="73"/>
      <c r="D530" s="50"/>
      <c r="F530" s="50"/>
      <c r="H530" s="50"/>
    </row>
    <row r="531">
      <c r="A531" s="72"/>
      <c r="C531" s="73"/>
      <c r="D531" s="50"/>
      <c r="F531" s="50"/>
      <c r="H531" s="50"/>
    </row>
    <row r="532">
      <c r="A532" s="72"/>
      <c r="C532" s="73"/>
      <c r="D532" s="50"/>
      <c r="F532" s="50"/>
      <c r="H532" s="50"/>
    </row>
    <row r="533">
      <c r="A533" s="72"/>
      <c r="C533" s="73"/>
      <c r="D533" s="50"/>
      <c r="F533" s="50"/>
      <c r="H533" s="50"/>
    </row>
    <row r="534">
      <c r="A534" s="72"/>
      <c r="C534" s="73"/>
      <c r="D534" s="50"/>
      <c r="F534" s="50"/>
      <c r="H534" s="50"/>
    </row>
    <row r="535">
      <c r="A535" s="72"/>
      <c r="C535" s="73"/>
      <c r="D535" s="50"/>
      <c r="F535" s="50"/>
      <c r="H535" s="50"/>
    </row>
    <row r="536">
      <c r="A536" s="72"/>
      <c r="C536" s="73"/>
      <c r="D536" s="50"/>
      <c r="F536" s="50"/>
      <c r="H536" s="50"/>
    </row>
    <row r="537">
      <c r="A537" s="72"/>
      <c r="C537" s="73"/>
      <c r="D537" s="50"/>
      <c r="F537" s="50"/>
      <c r="H537" s="50"/>
    </row>
    <row r="538">
      <c r="A538" s="72"/>
      <c r="C538" s="73"/>
      <c r="D538" s="50"/>
      <c r="F538" s="50"/>
      <c r="H538" s="50"/>
    </row>
    <row r="539">
      <c r="A539" s="72"/>
      <c r="C539" s="73"/>
      <c r="D539" s="50"/>
      <c r="F539" s="50"/>
      <c r="H539" s="50"/>
    </row>
    <row r="540">
      <c r="A540" s="72"/>
      <c r="C540" s="73"/>
      <c r="D540" s="50"/>
      <c r="F540" s="50"/>
      <c r="H540" s="50"/>
    </row>
    <row r="541">
      <c r="A541" s="72"/>
      <c r="C541" s="73"/>
      <c r="D541" s="50"/>
      <c r="F541" s="50"/>
      <c r="H541" s="50"/>
    </row>
    <row r="542">
      <c r="A542" s="72"/>
      <c r="C542" s="73"/>
      <c r="D542" s="50"/>
      <c r="F542" s="50"/>
      <c r="H542" s="50"/>
    </row>
    <row r="543">
      <c r="A543" s="72"/>
      <c r="C543" s="73"/>
      <c r="D543" s="50"/>
      <c r="F543" s="50"/>
      <c r="H543" s="50"/>
    </row>
    <row r="544">
      <c r="A544" s="72"/>
      <c r="C544" s="73"/>
      <c r="D544" s="50"/>
      <c r="F544" s="50"/>
      <c r="H544" s="50"/>
    </row>
    <row r="545">
      <c r="A545" s="72"/>
      <c r="C545" s="73"/>
      <c r="D545" s="50"/>
      <c r="F545" s="50"/>
      <c r="H545" s="50"/>
    </row>
    <row r="546">
      <c r="A546" s="72"/>
      <c r="C546" s="73"/>
      <c r="D546" s="50"/>
      <c r="F546" s="50"/>
      <c r="H546" s="50"/>
    </row>
    <row r="547">
      <c r="A547" s="72"/>
      <c r="C547" s="73"/>
      <c r="D547" s="50"/>
      <c r="F547" s="50"/>
      <c r="H547" s="50"/>
    </row>
    <row r="548">
      <c r="A548" s="72"/>
      <c r="C548" s="73"/>
      <c r="D548" s="50"/>
      <c r="F548" s="50"/>
      <c r="H548" s="50"/>
    </row>
    <row r="549">
      <c r="A549" s="72"/>
      <c r="C549" s="73"/>
      <c r="D549" s="50"/>
      <c r="F549" s="50"/>
      <c r="H549" s="50"/>
    </row>
    <row r="550">
      <c r="A550" s="72"/>
      <c r="C550" s="73"/>
      <c r="D550" s="50"/>
      <c r="F550" s="50"/>
      <c r="H550" s="50"/>
    </row>
    <row r="551">
      <c r="A551" s="72"/>
      <c r="C551" s="73"/>
      <c r="D551" s="50"/>
      <c r="F551" s="50"/>
      <c r="H551" s="50"/>
    </row>
    <row r="552">
      <c r="A552" s="72"/>
      <c r="C552" s="73"/>
      <c r="D552" s="50"/>
      <c r="F552" s="50"/>
      <c r="H552" s="50"/>
    </row>
    <row r="553">
      <c r="A553" s="72"/>
      <c r="C553" s="73"/>
      <c r="D553" s="50"/>
      <c r="F553" s="50"/>
      <c r="H553" s="50"/>
    </row>
    <row r="554">
      <c r="A554" s="72"/>
      <c r="C554" s="73"/>
      <c r="D554" s="50"/>
      <c r="F554" s="50"/>
      <c r="H554" s="50"/>
    </row>
    <row r="555">
      <c r="A555" s="72"/>
      <c r="C555" s="73"/>
      <c r="D555" s="50"/>
      <c r="F555" s="50"/>
      <c r="H555" s="50"/>
    </row>
    <row r="556">
      <c r="A556" s="72"/>
      <c r="C556" s="73"/>
      <c r="D556" s="50"/>
      <c r="F556" s="50"/>
      <c r="H556" s="50"/>
    </row>
    <row r="557">
      <c r="A557" s="72"/>
      <c r="C557" s="73"/>
      <c r="D557" s="50"/>
      <c r="F557" s="50"/>
      <c r="H557" s="50"/>
    </row>
    <row r="558">
      <c r="A558" s="72"/>
      <c r="C558" s="73"/>
      <c r="D558" s="50"/>
      <c r="F558" s="50"/>
      <c r="H558" s="50"/>
    </row>
    <row r="559">
      <c r="A559" s="72"/>
      <c r="C559" s="73"/>
      <c r="D559" s="50"/>
      <c r="F559" s="50"/>
      <c r="H559" s="50"/>
    </row>
    <row r="560">
      <c r="A560" s="72"/>
      <c r="C560" s="73"/>
      <c r="D560" s="50"/>
      <c r="F560" s="50"/>
      <c r="H560" s="50"/>
    </row>
    <row r="561">
      <c r="A561" s="72"/>
      <c r="C561" s="73"/>
      <c r="D561" s="50"/>
      <c r="F561" s="50"/>
      <c r="H561" s="50"/>
    </row>
    <row r="562">
      <c r="A562" s="72"/>
      <c r="C562" s="73"/>
      <c r="D562" s="50"/>
      <c r="F562" s="50"/>
      <c r="H562" s="50"/>
    </row>
    <row r="563">
      <c r="A563" s="72"/>
      <c r="C563" s="73"/>
      <c r="D563" s="50"/>
      <c r="F563" s="50"/>
      <c r="H563" s="50"/>
    </row>
    <row r="564">
      <c r="A564" s="72"/>
      <c r="C564" s="73"/>
      <c r="D564" s="50"/>
      <c r="F564" s="50"/>
      <c r="H564" s="50"/>
    </row>
    <row r="565">
      <c r="A565" s="72"/>
      <c r="C565" s="73"/>
      <c r="D565" s="50"/>
      <c r="F565" s="50"/>
      <c r="H565" s="50"/>
    </row>
    <row r="566">
      <c r="A566" s="72"/>
      <c r="C566" s="73"/>
      <c r="D566" s="50"/>
      <c r="F566" s="50"/>
      <c r="H566" s="50"/>
    </row>
    <row r="567">
      <c r="A567" s="72"/>
      <c r="C567" s="73"/>
      <c r="D567" s="50"/>
      <c r="F567" s="50"/>
      <c r="H567" s="50"/>
    </row>
    <row r="568">
      <c r="A568" s="72"/>
      <c r="C568" s="73"/>
      <c r="D568" s="50"/>
      <c r="F568" s="50"/>
      <c r="H568" s="50"/>
    </row>
    <row r="569">
      <c r="A569" s="72"/>
      <c r="C569" s="73"/>
      <c r="D569" s="50"/>
      <c r="F569" s="50"/>
      <c r="H569" s="50"/>
    </row>
    <row r="570">
      <c r="A570" s="72"/>
      <c r="C570" s="73"/>
      <c r="D570" s="50"/>
      <c r="F570" s="50"/>
      <c r="H570" s="50"/>
    </row>
    <row r="571">
      <c r="A571" s="72"/>
      <c r="C571" s="73"/>
      <c r="D571" s="50"/>
      <c r="F571" s="50"/>
      <c r="H571" s="50"/>
    </row>
    <row r="572">
      <c r="A572" s="72"/>
      <c r="C572" s="73"/>
      <c r="D572" s="50"/>
      <c r="F572" s="50"/>
      <c r="H572" s="50"/>
    </row>
    <row r="573">
      <c r="A573" s="72"/>
      <c r="C573" s="73"/>
      <c r="D573" s="50"/>
      <c r="F573" s="50"/>
      <c r="H573" s="50"/>
    </row>
    <row r="574">
      <c r="A574" s="72"/>
      <c r="C574" s="73"/>
      <c r="D574" s="50"/>
      <c r="F574" s="50"/>
      <c r="H574" s="50"/>
    </row>
    <row r="575">
      <c r="A575" s="72"/>
      <c r="C575" s="73"/>
      <c r="D575" s="50"/>
      <c r="F575" s="50"/>
      <c r="H575" s="50"/>
    </row>
    <row r="576">
      <c r="A576" s="72"/>
      <c r="C576" s="73"/>
      <c r="D576" s="50"/>
      <c r="F576" s="50"/>
      <c r="H576" s="50"/>
    </row>
    <row r="577">
      <c r="A577" s="72"/>
      <c r="C577" s="73"/>
      <c r="D577" s="50"/>
      <c r="F577" s="50"/>
      <c r="H577" s="50"/>
    </row>
    <row r="578">
      <c r="A578" s="72"/>
      <c r="C578" s="73"/>
      <c r="D578" s="50"/>
      <c r="F578" s="50"/>
      <c r="H578" s="50"/>
    </row>
    <row r="579">
      <c r="A579" s="72"/>
      <c r="C579" s="73"/>
      <c r="D579" s="50"/>
      <c r="F579" s="50"/>
      <c r="H579" s="50"/>
    </row>
    <row r="580">
      <c r="A580" s="72"/>
      <c r="C580" s="73"/>
      <c r="D580" s="50"/>
      <c r="F580" s="50"/>
      <c r="H580" s="50"/>
    </row>
    <row r="581">
      <c r="A581" s="72"/>
      <c r="C581" s="73"/>
      <c r="D581" s="50"/>
      <c r="F581" s="50"/>
      <c r="H581" s="50"/>
    </row>
    <row r="582">
      <c r="A582" s="72"/>
      <c r="C582" s="73"/>
      <c r="D582" s="50"/>
      <c r="F582" s="50"/>
      <c r="H582" s="50"/>
    </row>
    <row r="583">
      <c r="A583" s="72"/>
      <c r="C583" s="73"/>
      <c r="D583" s="50"/>
      <c r="F583" s="50"/>
      <c r="H583" s="50"/>
    </row>
    <row r="584">
      <c r="A584" s="72"/>
      <c r="C584" s="73"/>
      <c r="D584" s="50"/>
      <c r="F584" s="50"/>
      <c r="H584" s="50"/>
    </row>
    <row r="585">
      <c r="A585" s="72"/>
      <c r="C585" s="73"/>
      <c r="D585" s="50"/>
      <c r="F585" s="50"/>
      <c r="H585" s="50"/>
    </row>
    <row r="586">
      <c r="A586" s="72"/>
      <c r="C586" s="73"/>
      <c r="D586" s="50"/>
      <c r="F586" s="50"/>
      <c r="H586" s="50"/>
    </row>
    <row r="587">
      <c r="A587" s="72"/>
      <c r="C587" s="73"/>
      <c r="D587" s="50"/>
      <c r="F587" s="50"/>
      <c r="H587" s="50"/>
    </row>
    <row r="588">
      <c r="A588" s="72"/>
      <c r="C588" s="73"/>
      <c r="D588" s="50"/>
      <c r="F588" s="50"/>
      <c r="H588" s="50"/>
    </row>
    <row r="589">
      <c r="A589" s="72"/>
      <c r="C589" s="73"/>
      <c r="D589" s="50"/>
      <c r="F589" s="50"/>
      <c r="H589" s="50"/>
    </row>
    <row r="590">
      <c r="A590" s="72"/>
      <c r="C590" s="73"/>
      <c r="D590" s="50"/>
      <c r="F590" s="50"/>
      <c r="H590" s="50"/>
    </row>
    <row r="591">
      <c r="A591" s="72"/>
      <c r="C591" s="73"/>
      <c r="D591" s="50"/>
      <c r="F591" s="50"/>
      <c r="H591" s="50"/>
    </row>
    <row r="592">
      <c r="A592" s="72"/>
      <c r="C592" s="73"/>
      <c r="D592" s="50"/>
      <c r="F592" s="50"/>
      <c r="H592" s="50"/>
    </row>
    <row r="593">
      <c r="A593" s="72"/>
      <c r="C593" s="73"/>
      <c r="D593" s="50"/>
      <c r="F593" s="50"/>
      <c r="H593" s="50"/>
    </row>
    <row r="594">
      <c r="A594" s="72"/>
      <c r="C594" s="73"/>
      <c r="D594" s="50"/>
      <c r="F594" s="50"/>
      <c r="H594" s="50"/>
    </row>
    <row r="595">
      <c r="A595" s="72"/>
      <c r="C595" s="73"/>
      <c r="D595" s="50"/>
      <c r="F595" s="50"/>
      <c r="H595" s="50"/>
    </row>
    <row r="596">
      <c r="A596" s="72"/>
      <c r="C596" s="73"/>
      <c r="D596" s="50"/>
      <c r="F596" s="50"/>
      <c r="H596" s="50"/>
    </row>
    <row r="597">
      <c r="A597" s="72"/>
      <c r="C597" s="73"/>
      <c r="D597" s="50"/>
      <c r="F597" s="50"/>
      <c r="H597" s="50"/>
    </row>
    <row r="598">
      <c r="A598" s="72"/>
      <c r="C598" s="73"/>
      <c r="D598" s="50"/>
      <c r="F598" s="50"/>
      <c r="H598" s="50"/>
    </row>
    <row r="599">
      <c r="A599" s="72"/>
      <c r="C599" s="73"/>
      <c r="D599" s="50"/>
      <c r="F599" s="50"/>
      <c r="H599" s="50"/>
    </row>
    <row r="600">
      <c r="A600" s="72"/>
      <c r="C600" s="73"/>
      <c r="D600" s="50"/>
      <c r="F600" s="50"/>
      <c r="H600" s="50"/>
    </row>
    <row r="601">
      <c r="A601" s="72"/>
      <c r="C601" s="73"/>
      <c r="D601" s="50"/>
      <c r="F601" s="50"/>
      <c r="H601" s="50"/>
    </row>
    <row r="602">
      <c r="A602" s="72"/>
      <c r="C602" s="73"/>
      <c r="D602" s="50"/>
      <c r="F602" s="50"/>
      <c r="H602" s="50"/>
    </row>
    <row r="603">
      <c r="A603" s="72"/>
      <c r="C603" s="73"/>
      <c r="D603" s="50"/>
      <c r="F603" s="50"/>
      <c r="H603" s="50"/>
    </row>
    <row r="604">
      <c r="A604" s="72"/>
      <c r="C604" s="73"/>
      <c r="D604" s="50"/>
      <c r="F604" s="50"/>
      <c r="H604" s="50"/>
    </row>
    <row r="605">
      <c r="A605" s="72"/>
      <c r="C605" s="73"/>
      <c r="D605" s="50"/>
      <c r="F605" s="50"/>
      <c r="H605" s="50"/>
    </row>
    <row r="606">
      <c r="A606" s="72"/>
      <c r="C606" s="73"/>
      <c r="D606" s="50"/>
      <c r="F606" s="50"/>
      <c r="H606" s="50"/>
    </row>
    <row r="607">
      <c r="A607" s="72"/>
      <c r="C607" s="73"/>
      <c r="D607" s="50"/>
      <c r="F607" s="50"/>
      <c r="H607" s="50"/>
    </row>
    <row r="608">
      <c r="A608" s="72"/>
      <c r="C608" s="73"/>
      <c r="D608" s="50"/>
      <c r="F608" s="50"/>
      <c r="H608" s="50"/>
    </row>
    <row r="609">
      <c r="A609" s="72"/>
      <c r="C609" s="73"/>
      <c r="D609" s="50"/>
      <c r="F609" s="50"/>
      <c r="H609" s="50"/>
    </row>
    <row r="610">
      <c r="A610" s="72"/>
      <c r="C610" s="73"/>
      <c r="D610" s="50"/>
      <c r="F610" s="50"/>
      <c r="H610" s="50"/>
    </row>
    <row r="611">
      <c r="A611" s="72"/>
      <c r="C611" s="73"/>
      <c r="D611" s="50"/>
      <c r="F611" s="50"/>
      <c r="H611" s="50"/>
    </row>
    <row r="612">
      <c r="A612" s="72"/>
      <c r="C612" s="73"/>
      <c r="D612" s="50"/>
      <c r="F612" s="50"/>
      <c r="H612" s="50"/>
    </row>
    <row r="613">
      <c r="A613" s="72"/>
      <c r="C613" s="73"/>
      <c r="D613" s="50"/>
      <c r="F613" s="50"/>
      <c r="H613" s="50"/>
    </row>
    <row r="614">
      <c r="A614" s="72"/>
      <c r="C614" s="73"/>
      <c r="D614" s="50"/>
      <c r="F614" s="50"/>
      <c r="H614" s="50"/>
    </row>
    <row r="615">
      <c r="A615" s="72"/>
      <c r="C615" s="73"/>
      <c r="D615" s="50"/>
      <c r="F615" s="50"/>
      <c r="H615" s="50"/>
    </row>
    <row r="616">
      <c r="A616" s="72"/>
      <c r="C616" s="73"/>
      <c r="D616" s="50"/>
      <c r="F616" s="50"/>
      <c r="H616" s="50"/>
    </row>
    <row r="617">
      <c r="A617" s="72"/>
      <c r="C617" s="73"/>
      <c r="D617" s="50"/>
      <c r="F617" s="50"/>
      <c r="H617" s="50"/>
    </row>
    <row r="618">
      <c r="A618" s="72"/>
      <c r="C618" s="73"/>
      <c r="D618" s="50"/>
      <c r="F618" s="50"/>
      <c r="H618" s="50"/>
    </row>
    <row r="619">
      <c r="A619" s="72"/>
      <c r="C619" s="73"/>
      <c r="D619" s="50"/>
      <c r="F619" s="50"/>
      <c r="H619" s="50"/>
    </row>
    <row r="620">
      <c r="A620" s="72"/>
      <c r="C620" s="73"/>
      <c r="D620" s="50"/>
      <c r="F620" s="50"/>
      <c r="H620" s="50"/>
    </row>
    <row r="621">
      <c r="A621" s="72"/>
      <c r="C621" s="73"/>
      <c r="D621" s="50"/>
      <c r="F621" s="50"/>
      <c r="H621" s="50"/>
    </row>
    <row r="622">
      <c r="A622" s="72"/>
      <c r="C622" s="73"/>
      <c r="D622" s="50"/>
      <c r="F622" s="50"/>
      <c r="H622" s="50"/>
    </row>
    <row r="623">
      <c r="A623" s="72"/>
      <c r="C623" s="73"/>
      <c r="D623" s="50"/>
      <c r="F623" s="50"/>
      <c r="H623" s="50"/>
    </row>
    <row r="624">
      <c r="A624" s="72"/>
      <c r="C624" s="73"/>
      <c r="D624" s="50"/>
      <c r="F624" s="50"/>
      <c r="H624" s="50"/>
    </row>
    <row r="625">
      <c r="A625" s="72"/>
      <c r="C625" s="73"/>
      <c r="D625" s="50"/>
      <c r="F625" s="50"/>
      <c r="H625" s="50"/>
    </row>
    <row r="626">
      <c r="A626" s="72"/>
      <c r="C626" s="73"/>
      <c r="D626" s="50"/>
      <c r="F626" s="50"/>
      <c r="H626" s="50"/>
    </row>
    <row r="627">
      <c r="A627" s="72"/>
      <c r="C627" s="73"/>
      <c r="D627" s="50"/>
      <c r="F627" s="50"/>
      <c r="H627" s="50"/>
    </row>
    <row r="628">
      <c r="A628" s="72"/>
      <c r="C628" s="73"/>
      <c r="D628" s="50"/>
      <c r="F628" s="50"/>
      <c r="H628" s="50"/>
    </row>
    <row r="629">
      <c r="A629" s="72"/>
      <c r="C629" s="73"/>
      <c r="D629" s="50"/>
      <c r="F629" s="50"/>
      <c r="H629" s="50"/>
    </row>
    <row r="630">
      <c r="A630" s="72"/>
      <c r="C630" s="73"/>
      <c r="D630" s="50"/>
      <c r="F630" s="50"/>
      <c r="H630" s="50"/>
    </row>
    <row r="631">
      <c r="A631" s="72"/>
      <c r="C631" s="73"/>
      <c r="D631" s="50"/>
      <c r="F631" s="50"/>
      <c r="H631" s="50"/>
    </row>
    <row r="632">
      <c r="A632" s="72"/>
      <c r="C632" s="73"/>
      <c r="D632" s="50"/>
      <c r="F632" s="50"/>
      <c r="H632" s="50"/>
    </row>
    <row r="633">
      <c r="A633" s="72"/>
      <c r="C633" s="73"/>
      <c r="D633" s="50"/>
      <c r="F633" s="50"/>
      <c r="H633" s="50"/>
    </row>
    <row r="634">
      <c r="A634" s="72"/>
      <c r="C634" s="73"/>
      <c r="D634" s="50"/>
      <c r="F634" s="50"/>
      <c r="H634" s="50"/>
    </row>
    <row r="635">
      <c r="A635" s="72"/>
      <c r="C635" s="73"/>
      <c r="D635" s="50"/>
      <c r="F635" s="50"/>
      <c r="H635" s="50"/>
    </row>
    <row r="636">
      <c r="A636" s="72"/>
      <c r="C636" s="73"/>
      <c r="D636" s="50"/>
      <c r="F636" s="50"/>
      <c r="H636" s="50"/>
    </row>
    <row r="637">
      <c r="A637" s="72"/>
      <c r="C637" s="73"/>
      <c r="D637" s="50"/>
      <c r="F637" s="50"/>
      <c r="H637" s="50"/>
    </row>
    <row r="638">
      <c r="A638" s="72"/>
      <c r="C638" s="73"/>
      <c r="D638" s="50"/>
      <c r="F638" s="50"/>
      <c r="H638" s="50"/>
    </row>
    <row r="639">
      <c r="A639" s="72"/>
      <c r="C639" s="73"/>
      <c r="D639" s="50"/>
      <c r="F639" s="50"/>
      <c r="H639" s="50"/>
    </row>
    <row r="640">
      <c r="A640" s="72"/>
      <c r="C640" s="73"/>
      <c r="D640" s="50"/>
      <c r="F640" s="50"/>
      <c r="H640" s="50"/>
    </row>
    <row r="641">
      <c r="A641" s="72"/>
      <c r="C641" s="73"/>
      <c r="D641" s="50"/>
      <c r="F641" s="50"/>
      <c r="H641" s="50"/>
    </row>
    <row r="642">
      <c r="A642" s="72"/>
      <c r="C642" s="73"/>
      <c r="D642" s="50"/>
      <c r="F642" s="50"/>
      <c r="H642" s="50"/>
    </row>
    <row r="643">
      <c r="A643" s="72"/>
      <c r="C643" s="73"/>
      <c r="D643" s="50"/>
      <c r="F643" s="50"/>
      <c r="H643" s="50"/>
    </row>
    <row r="644">
      <c r="A644" s="72"/>
      <c r="C644" s="73"/>
      <c r="D644" s="50"/>
      <c r="F644" s="50"/>
      <c r="H644" s="50"/>
    </row>
    <row r="645">
      <c r="A645" s="72"/>
      <c r="C645" s="73"/>
      <c r="D645" s="50"/>
      <c r="F645" s="50"/>
      <c r="H645" s="50"/>
    </row>
    <row r="646">
      <c r="A646" s="72"/>
      <c r="C646" s="73"/>
      <c r="D646" s="50"/>
      <c r="F646" s="50"/>
      <c r="H646" s="50"/>
    </row>
    <row r="647">
      <c r="A647" s="72"/>
      <c r="C647" s="73"/>
      <c r="D647" s="50"/>
      <c r="F647" s="50"/>
      <c r="H647" s="50"/>
    </row>
    <row r="648">
      <c r="A648" s="72"/>
      <c r="C648" s="73"/>
      <c r="D648" s="50"/>
      <c r="F648" s="50"/>
      <c r="H648" s="50"/>
    </row>
    <row r="649">
      <c r="A649" s="72"/>
      <c r="C649" s="73"/>
      <c r="D649" s="50"/>
      <c r="F649" s="50"/>
      <c r="H649" s="50"/>
    </row>
    <row r="650">
      <c r="A650" s="72"/>
      <c r="C650" s="73"/>
      <c r="D650" s="50"/>
      <c r="F650" s="50"/>
      <c r="H650" s="50"/>
    </row>
    <row r="651">
      <c r="A651" s="72"/>
      <c r="C651" s="73"/>
      <c r="D651" s="50"/>
      <c r="F651" s="50"/>
      <c r="H651" s="50"/>
    </row>
    <row r="652">
      <c r="A652" s="72"/>
      <c r="C652" s="73"/>
      <c r="D652" s="50"/>
      <c r="F652" s="50"/>
      <c r="H652" s="50"/>
    </row>
    <row r="653">
      <c r="A653" s="72"/>
      <c r="C653" s="73"/>
      <c r="D653" s="50"/>
      <c r="F653" s="50"/>
      <c r="H653" s="50"/>
    </row>
    <row r="654">
      <c r="A654" s="72"/>
      <c r="C654" s="73"/>
      <c r="D654" s="50"/>
      <c r="F654" s="50"/>
      <c r="H654" s="50"/>
    </row>
    <row r="655">
      <c r="A655" s="72"/>
      <c r="C655" s="73"/>
      <c r="D655" s="50"/>
      <c r="F655" s="50"/>
      <c r="H655" s="50"/>
    </row>
    <row r="656">
      <c r="A656" s="72"/>
      <c r="C656" s="73"/>
      <c r="D656" s="50"/>
      <c r="F656" s="50"/>
      <c r="H656" s="50"/>
    </row>
    <row r="657">
      <c r="A657" s="72"/>
      <c r="C657" s="73"/>
      <c r="D657" s="50"/>
      <c r="F657" s="50"/>
      <c r="H657" s="50"/>
    </row>
    <row r="658">
      <c r="A658" s="72"/>
      <c r="C658" s="73"/>
      <c r="D658" s="50"/>
      <c r="F658" s="50"/>
      <c r="H658" s="50"/>
    </row>
    <row r="659">
      <c r="A659" s="72"/>
      <c r="C659" s="73"/>
      <c r="D659" s="50"/>
      <c r="F659" s="50"/>
      <c r="H659" s="50"/>
    </row>
    <row r="660">
      <c r="A660" s="72"/>
      <c r="C660" s="73"/>
      <c r="D660" s="50"/>
      <c r="F660" s="50"/>
      <c r="H660" s="50"/>
    </row>
    <row r="661">
      <c r="A661" s="72"/>
      <c r="C661" s="73"/>
      <c r="D661" s="50"/>
      <c r="F661" s="50"/>
      <c r="H661" s="50"/>
    </row>
    <row r="662">
      <c r="A662" s="72"/>
      <c r="C662" s="73"/>
      <c r="D662" s="50"/>
      <c r="F662" s="50"/>
      <c r="H662" s="50"/>
    </row>
    <row r="663">
      <c r="A663" s="72"/>
      <c r="C663" s="73"/>
      <c r="D663" s="50"/>
      <c r="F663" s="50"/>
      <c r="H663" s="50"/>
    </row>
    <row r="664">
      <c r="A664" s="72"/>
      <c r="C664" s="73"/>
      <c r="D664" s="50"/>
      <c r="F664" s="50"/>
      <c r="H664" s="50"/>
    </row>
    <row r="665">
      <c r="A665" s="72"/>
      <c r="C665" s="73"/>
      <c r="D665" s="50"/>
      <c r="F665" s="50"/>
      <c r="H665" s="50"/>
    </row>
    <row r="666">
      <c r="A666" s="72"/>
      <c r="C666" s="73"/>
      <c r="D666" s="50"/>
      <c r="F666" s="50"/>
      <c r="H666" s="50"/>
    </row>
    <row r="667">
      <c r="A667" s="72"/>
      <c r="C667" s="73"/>
      <c r="D667" s="50"/>
      <c r="F667" s="50"/>
      <c r="H667" s="50"/>
    </row>
    <row r="668">
      <c r="A668" s="72"/>
      <c r="C668" s="73"/>
      <c r="D668" s="50"/>
      <c r="F668" s="50"/>
      <c r="H668" s="50"/>
    </row>
    <row r="669">
      <c r="A669" s="72"/>
      <c r="C669" s="73"/>
      <c r="D669" s="50"/>
      <c r="F669" s="50"/>
      <c r="H669" s="50"/>
    </row>
    <row r="670">
      <c r="A670" s="72"/>
      <c r="C670" s="73"/>
      <c r="D670" s="50"/>
      <c r="F670" s="50"/>
      <c r="H670" s="50"/>
    </row>
    <row r="671">
      <c r="A671" s="72"/>
      <c r="C671" s="73"/>
      <c r="D671" s="50"/>
      <c r="F671" s="50"/>
      <c r="H671" s="50"/>
    </row>
    <row r="672">
      <c r="A672" s="72"/>
      <c r="C672" s="73"/>
      <c r="D672" s="50"/>
      <c r="F672" s="50"/>
      <c r="H672" s="50"/>
    </row>
    <row r="673">
      <c r="A673" s="72"/>
      <c r="C673" s="73"/>
      <c r="D673" s="50"/>
      <c r="F673" s="50"/>
      <c r="H673" s="50"/>
    </row>
    <row r="674">
      <c r="A674" s="72"/>
      <c r="C674" s="73"/>
      <c r="D674" s="50"/>
      <c r="F674" s="50"/>
      <c r="H674" s="50"/>
    </row>
    <row r="675">
      <c r="A675" s="72"/>
      <c r="C675" s="73"/>
      <c r="D675" s="50"/>
      <c r="F675" s="50"/>
      <c r="H675" s="50"/>
    </row>
    <row r="676">
      <c r="A676" s="72"/>
      <c r="C676" s="73"/>
      <c r="D676" s="50"/>
      <c r="F676" s="50"/>
      <c r="H676" s="50"/>
    </row>
    <row r="677">
      <c r="A677" s="72"/>
      <c r="C677" s="73"/>
      <c r="D677" s="50"/>
      <c r="F677" s="50"/>
      <c r="H677" s="50"/>
    </row>
    <row r="678">
      <c r="A678" s="72"/>
      <c r="C678" s="73"/>
      <c r="D678" s="50"/>
      <c r="F678" s="50"/>
      <c r="H678" s="50"/>
    </row>
    <row r="679">
      <c r="A679" s="72"/>
      <c r="C679" s="73"/>
      <c r="D679" s="50"/>
      <c r="F679" s="50"/>
      <c r="H679" s="50"/>
    </row>
    <row r="680">
      <c r="A680" s="72"/>
      <c r="C680" s="73"/>
      <c r="D680" s="50"/>
      <c r="F680" s="50"/>
      <c r="H680" s="50"/>
    </row>
    <row r="681">
      <c r="A681" s="72"/>
      <c r="C681" s="73"/>
      <c r="D681" s="50"/>
      <c r="F681" s="50"/>
      <c r="H681" s="50"/>
    </row>
    <row r="682">
      <c r="A682" s="72"/>
      <c r="C682" s="73"/>
      <c r="D682" s="50"/>
      <c r="F682" s="50"/>
      <c r="H682" s="50"/>
    </row>
    <row r="683">
      <c r="A683" s="72"/>
      <c r="C683" s="73"/>
      <c r="D683" s="50"/>
      <c r="F683" s="50"/>
      <c r="H683" s="50"/>
    </row>
    <row r="684">
      <c r="A684" s="72"/>
      <c r="C684" s="73"/>
      <c r="D684" s="50"/>
      <c r="F684" s="50"/>
      <c r="H684" s="50"/>
    </row>
    <row r="685">
      <c r="A685" s="72"/>
      <c r="C685" s="73"/>
      <c r="D685" s="50"/>
      <c r="F685" s="50"/>
      <c r="H685" s="50"/>
    </row>
    <row r="686">
      <c r="A686" s="72"/>
      <c r="C686" s="73"/>
      <c r="D686" s="50"/>
      <c r="F686" s="50"/>
      <c r="H686" s="50"/>
    </row>
    <row r="687">
      <c r="A687" s="72"/>
      <c r="C687" s="73"/>
      <c r="D687" s="50"/>
      <c r="F687" s="50"/>
      <c r="H687" s="50"/>
    </row>
    <row r="688">
      <c r="A688" s="72"/>
      <c r="C688" s="73"/>
      <c r="D688" s="50"/>
      <c r="F688" s="50"/>
      <c r="H688" s="50"/>
    </row>
    <row r="689">
      <c r="A689" s="72"/>
      <c r="C689" s="73"/>
      <c r="D689" s="50"/>
      <c r="F689" s="50"/>
      <c r="H689" s="50"/>
    </row>
    <row r="690">
      <c r="A690" s="72"/>
      <c r="C690" s="73"/>
      <c r="D690" s="50"/>
      <c r="F690" s="50"/>
      <c r="H690" s="50"/>
    </row>
    <row r="691">
      <c r="A691" s="72"/>
      <c r="C691" s="73"/>
      <c r="D691" s="50"/>
      <c r="F691" s="50"/>
      <c r="H691" s="50"/>
    </row>
    <row r="692">
      <c r="A692" s="72"/>
      <c r="C692" s="73"/>
      <c r="D692" s="50"/>
      <c r="F692" s="50"/>
      <c r="H692" s="50"/>
    </row>
    <row r="693">
      <c r="A693" s="72"/>
      <c r="C693" s="73"/>
      <c r="D693" s="50"/>
      <c r="F693" s="50"/>
      <c r="H693" s="50"/>
    </row>
    <row r="694">
      <c r="A694" s="72"/>
      <c r="C694" s="73"/>
      <c r="D694" s="50"/>
      <c r="F694" s="50"/>
      <c r="H694" s="50"/>
    </row>
    <row r="695">
      <c r="A695" s="72"/>
      <c r="C695" s="73"/>
      <c r="D695" s="50"/>
      <c r="F695" s="50"/>
      <c r="H695" s="50"/>
    </row>
    <row r="696">
      <c r="A696" s="72"/>
      <c r="C696" s="73"/>
      <c r="D696" s="50"/>
      <c r="F696" s="50"/>
      <c r="H696" s="50"/>
    </row>
    <row r="697">
      <c r="A697" s="72"/>
      <c r="C697" s="73"/>
      <c r="D697" s="50"/>
      <c r="F697" s="50"/>
      <c r="H697" s="50"/>
    </row>
    <row r="698">
      <c r="A698" s="72"/>
      <c r="C698" s="73"/>
      <c r="D698" s="50"/>
      <c r="F698" s="50"/>
      <c r="H698" s="50"/>
    </row>
    <row r="699">
      <c r="A699" s="72"/>
      <c r="C699" s="73"/>
      <c r="D699" s="50"/>
      <c r="F699" s="50"/>
      <c r="H699" s="50"/>
    </row>
    <row r="700">
      <c r="A700" s="72"/>
      <c r="C700" s="73"/>
      <c r="D700" s="50"/>
      <c r="F700" s="50"/>
      <c r="H700" s="50"/>
    </row>
    <row r="701">
      <c r="A701" s="72"/>
      <c r="C701" s="73"/>
      <c r="D701" s="50"/>
      <c r="F701" s="50"/>
      <c r="H701" s="50"/>
    </row>
    <row r="702">
      <c r="A702" s="72"/>
      <c r="C702" s="73"/>
      <c r="D702" s="50"/>
      <c r="F702" s="50"/>
      <c r="H702" s="50"/>
    </row>
    <row r="703">
      <c r="A703" s="72"/>
      <c r="C703" s="73"/>
      <c r="D703" s="50"/>
      <c r="F703" s="50"/>
      <c r="H703" s="50"/>
    </row>
    <row r="704">
      <c r="A704" s="72"/>
      <c r="C704" s="73"/>
      <c r="D704" s="50"/>
      <c r="F704" s="50"/>
      <c r="H704" s="50"/>
    </row>
    <row r="705">
      <c r="A705" s="72"/>
      <c r="C705" s="73"/>
      <c r="D705" s="50"/>
      <c r="F705" s="50"/>
      <c r="H705" s="50"/>
    </row>
    <row r="706">
      <c r="A706" s="72"/>
      <c r="C706" s="73"/>
      <c r="D706" s="50"/>
      <c r="F706" s="50"/>
      <c r="H706" s="50"/>
    </row>
    <row r="707">
      <c r="A707" s="72"/>
      <c r="C707" s="73"/>
      <c r="D707" s="50"/>
      <c r="F707" s="50"/>
      <c r="H707" s="50"/>
    </row>
    <row r="708">
      <c r="A708" s="72"/>
      <c r="C708" s="73"/>
      <c r="D708" s="50"/>
      <c r="F708" s="50"/>
      <c r="H708" s="50"/>
    </row>
    <row r="709">
      <c r="A709" s="72"/>
      <c r="C709" s="73"/>
      <c r="D709" s="50"/>
      <c r="F709" s="50"/>
      <c r="H709" s="50"/>
    </row>
    <row r="710">
      <c r="A710" s="72"/>
      <c r="C710" s="73"/>
      <c r="D710" s="50"/>
      <c r="F710" s="50"/>
      <c r="H710" s="50"/>
    </row>
    <row r="711">
      <c r="A711" s="72"/>
      <c r="C711" s="73"/>
      <c r="D711" s="50"/>
      <c r="F711" s="50"/>
      <c r="H711" s="50"/>
    </row>
    <row r="712">
      <c r="A712" s="72"/>
      <c r="C712" s="73"/>
      <c r="D712" s="50"/>
      <c r="F712" s="50"/>
      <c r="H712" s="50"/>
    </row>
    <row r="713">
      <c r="A713" s="72"/>
      <c r="C713" s="73"/>
      <c r="D713" s="50"/>
      <c r="F713" s="50"/>
      <c r="H713" s="50"/>
    </row>
    <row r="714">
      <c r="A714" s="72"/>
      <c r="C714" s="73"/>
      <c r="D714" s="50"/>
      <c r="F714" s="50"/>
      <c r="H714" s="50"/>
    </row>
    <row r="715">
      <c r="A715" s="72"/>
      <c r="C715" s="73"/>
      <c r="D715" s="50"/>
      <c r="F715" s="50"/>
      <c r="H715" s="50"/>
    </row>
    <row r="716">
      <c r="A716" s="72"/>
      <c r="C716" s="73"/>
      <c r="D716" s="50"/>
      <c r="F716" s="50"/>
      <c r="H716" s="50"/>
    </row>
    <row r="717">
      <c r="A717" s="72"/>
      <c r="C717" s="73"/>
      <c r="D717" s="50"/>
      <c r="F717" s="50"/>
      <c r="H717" s="50"/>
    </row>
    <row r="718">
      <c r="A718" s="72"/>
      <c r="C718" s="73"/>
      <c r="D718" s="50"/>
      <c r="F718" s="50"/>
      <c r="H718" s="50"/>
    </row>
    <row r="719">
      <c r="A719" s="72"/>
      <c r="C719" s="73"/>
      <c r="D719" s="50"/>
      <c r="F719" s="50"/>
      <c r="H719" s="50"/>
    </row>
    <row r="720">
      <c r="A720" s="72"/>
      <c r="C720" s="73"/>
      <c r="D720" s="50"/>
      <c r="F720" s="50"/>
      <c r="H720" s="50"/>
    </row>
    <row r="721">
      <c r="A721" s="72"/>
      <c r="C721" s="73"/>
      <c r="D721" s="50"/>
      <c r="F721" s="50"/>
      <c r="H721" s="50"/>
    </row>
    <row r="722">
      <c r="A722" s="72"/>
      <c r="C722" s="73"/>
      <c r="D722" s="50"/>
      <c r="F722" s="50"/>
      <c r="H722" s="50"/>
    </row>
    <row r="723">
      <c r="A723" s="72"/>
      <c r="C723" s="73"/>
      <c r="D723" s="50"/>
      <c r="F723" s="50"/>
      <c r="H723" s="50"/>
    </row>
    <row r="724">
      <c r="A724" s="72"/>
      <c r="C724" s="73"/>
      <c r="D724" s="50"/>
      <c r="F724" s="50"/>
      <c r="H724" s="50"/>
    </row>
    <row r="725">
      <c r="A725" s="72"/>
      <c r="C725" s="73"/>
      <c r="D725" s="50"/>
      <c r="F725" s="50"/>
      <c r="H725" s="50"/>
    </row>
    <row r="726">
      <c r="A726" s="72"/>
      <c r="C726" s="73"/>
      <c r="D726" s="50"/>
      <c r="F726" s="50"/>
      <c r="H726" s="50"/>
    </row>
    <row r="727">
      <c r="A727" s="72"/>
      <c r="C727" s="73"/>
      <c r="D727" s="50"/>
      <c r="F727" s="50"/>
      <c r="H727" s="50"/>
    </row>
    <row r="728">
      <c r="A728" s="72"/>
      <c r="C728" s="73"/>
      <c r="D728" s="50"/>
      <c r="F728" s="50"/>
      <c r="H728" s="50"/>
    </row>
    <row r="729">
      <c r="A729" s="72"/>
      <c r="C729" s="73"/>
      <c r="D729" s="50"/>
      <c r="F729" s="50"/>
      <c r="H729" s="50"/>
    </row>
    <row r="730">
      <c r="A730" s="72"/>
      <c r="C730" s="73"/>
      <c r="D730" s="50"/>
      <c r="F730" s="50"/>
      <c r="H730" s="50"/>
    </row>
    <row r="731">
      <c r="A731" s="72"/>
      <c r="C731" s="73"/>
      <c r="D731" s="50"/>
      <c r="F731" s="50"/>
      <c r="H731" s="50"/>
    </row>
    <row r="732">
      <c r="A732" s="72"/>
      <c r="C732" s="73"/>
      <c r="D732" s="50"/>
      <c r="F732" s="50"/>
      <c r="H732" s="50"/>
    </row>
    <row r="733">
      <c r="A733" s="72"/>
      <c r="C733" s="73"/>
      <c r="D733" s="50"/>
      <c r="F733" s="50"/>
      <c r="H733" s="50"/>
    </row>
    <row r="734">
      <c r="A734" s="72"/>
      <c r="C734" s="73"/>
      <c r="D734" s="50"/>
      <c r="F734" s="50"/>
      <c r="H734" s="50"/>
    </row>
    <row r="735">
      <c r="A735" s="72"/>
      <c r="C735" s="73"/>
      <c r="D735" s="50"/>
      <c r="F735" s="50"/>
      <c r="H735" s="50"/>
    </row>
    <row r="736">
      <c r="A736" s="72"/>
      <c r="C736" s="73"/>
      <c r="D736" s="50"/>
      <c r="F736" s="50"/>
      <c r="H736" s="50"/>
    </row>
    <row r="737">
      <c r="A737" s="72"/>
      <c r="C737" s="73"/>
      <c r="D737" s="50"/>
      <c r="F737" s="50"/>
      <c r="H737" s="50"/>
    </row>
    <row r="738">
      <c r="A738" s="72"/>
      <c r="C738" s="73"/>
      <c r="D738" s="50"/>
      <c r="F738" s="50"/>
      <c r="H738" s="50"/>
    </row>
    <row r="739">
      <c r="A739" s="72"/>
      <c r="C739" s="73"/>
      <c r="D739" s="50"/>
      <c r="F739" s="50"/>
      <c r="H739" s="50"/>
    </row>
    <row r="740">
      <c r="A740" s="72"/>
      <c r="C740" s="73"/>
      <c r="D740" s="50"/>
      <c r="F740" s="50"/>
      <c r="H740" s="50"/>
    </row>
    <row r="741">
      <c r="A741" s="72"/>
      <c r="C741" s="73"/>
      <c r="D741" s="50"/>
      <c r="F741" s="50"/>
      <c r="H741" s="50"/>
    </row>
    <row r="742">
      <c r="A742" s="72"/>
      <c r="C742" s="73"/>
      <c r="D742" s="50"/>
      <c r="F742" s="50"/>
      <c r="H742" s="50"/>
    </row>
    <row r="743">
      <c r="A743" s="72"/>
      <c r="C743" s="73"/>
      <c r="D743" s="50"/>
      <c r="F743" s="50"/>
      <c r="H743" s="50"/>
    </row>
    <row r="744">
      <c r="A744" s="72"/>
      <c r="C744" s="73"/>
      <c r="D744" s="50"/>
      <c r="F744" s="50"/>
      <c r="H744" s="50"/>
    </row>
    <row r="745">
      <c r="A745" s="72"/>
      <c r="C745" s="73"/>
      <c r="D745" s="50"/>
      <c r="F745" s="50"/>
      <c r="H745" s="50"/>
    </row>
    <row r="746">
      <c r="A746" s="72"/>
      <c r="C746" s="73"/>
      <c r="D746" s="50"/>
      <c r="F746" s="50"/>
      <c r="H746" s="50"/>
    </row>
    <row r="747">
      <c r="A747" s="72"/>
      <c r="C747" s="73"/>
      <c r="D747" s="50"/>
      <c r="F747" s="50"/>
      <c r="H747" s="50"/>
    </row>
    <row r="748">
      <c r="A748" s="72"/>
      <c r="C748" s="73"/>
      <c r="D748" s="50"/>
      <c r="F748" s="50"/>
      <c r="H748" s="50"/>
    </row>
    <row r="749">
      <c r="A749" s="72"/>
      <c r="C749" s="73"/>
      <c r="D749" s="50"/>
      <c r="F749" s="50"/>
      <c r="H749" s="50"/>
    </row>
    <row r="750">
      <c r="A750" s="72"/>
      <c r="C750" s="73"/>
      <c r="D750" s="50"/>
      <c r="F750" s="50"/>
      <c r="H750" s="50"/>
    </row>
    <row r="751">
      <c r="A751" s="72"/>
      <c r="C751" s="73"/>
      <c r="D751" s="50"/>
      <c r="F751" s="50"/>
      <c r="H751" s="50"/>
    </row>
    <row r="752">
      <c r="A752" s="72"/>
      <c r="C752" s="73"/>
      <c r="D752" s="50"/>
      <c r="F752" s="50"/>
      <c r="H752" s="50"/>
    </row>
    <row r="753">
      <c r="A753" s="72"/>
      <c r="C753" s="73"/>
      <c r="D753" s="50"/>
      <c r="F753" s="50"/>
      <c r="H753" s="50"/>
    </row>
    <row r="754">
      <c r="A754" s="72"/>
      <c r="C754" s="73"/>
      <c r="D754" s="50"/>
      <c r="F754" s="50"/>
      <c r="H754" s="50"/>
    </row>
    <row r="755">
      <c r="A755" s="72"/>
      <c r="C755" s="73"/>
      <c r="D755" s="50"/>
      <c r="F755" s="50"/>
      <c r="H755" s="50"/>
    </row>
    <row r="756">
      <c r="A756" s="72"/>
      <c r="C756" s="73"/>
      <c r="D756" s="50"/>
      <c r="F756" s="50"/>
      <c r="H756" s="50"/>
    </row>
    <row r="757">
      <c r="A757" s="72"/>
      <c r="C757" s="73"/>
      <c r="D757" s="50"/>
      <c r="F757" s="50"/>
      <c r="H757" s="50"/>
    </row>
    <row r="758">
      <c r="A758" s="72"/>
      <c r="C758" s="73"/>
      <c r="D758" s="50"/>
      <c r="F758" s="50"/>
      <c r="H758" s="50"/>
    </row>
    <row r="759">
      <c r="A759" s="72"/>
      <c r="C759" s="73"/>
      <c r="D759" s="50"/>
      <c r="F759" s="50"/>
      <c r="H759" s="50"/>
    </row>
    <row r="760">
      <c r="A760" s="72"/>
      <c r="C760" s="73"/>
      <c r="D760" s="50"/>
      <c r="F760" s="50"/>
      <c r="H760" s="50"/>
    </row>
    <row r="761">
      <c r="A761" s="72"/>
      <c r="C761" s="73"/>
      <c r="D761" s="50"/>
      <c r="F761" s="50"/>
      <c r="H761" s="50"/>
    </row>
    <row r="762">
      <c r="A762" s="72"/>
      <c r="C762" s="73"/>
      <c r="D762" s="50"/>
      <c r="F762" s="50"/>
      <c r="H762" s="50"/>
    </row>
    <row r="763">
      <c r="A763" s="72"/>
      <c r="C763" s="73"/>
      <c r="D763" s="50"/>
      <c r="F763" s="50"/>
      <c r="H763" s="50"/>
    </row>
    <row r="764">
      <c r="A764" s="72"/>
      <c r="C764" s="73"/>
      <c r="D764" s="50"/>
      <c r="F764" s="50"/>
      <c r="H764" s="50"/>
    </row>
    <row r="765">
      <c r="A765" s="72"/>
      <c r="C765" s="73"/>
      <c r="D765" s="50"/>
      <c r="F765" s="50"/>
      <c r="H765" s="50"/>
    </row>
    <row r="766">
      <c r="A766" s="72"/>
      <c r="C766" s="73"/>
      <c r="D766" s="50"/>
      <c r="F766" s="50"/>
      <c r="H766" s="50"/>
    </row>
    <row r="767">
      <c r="A767" s="72"/>
      <c r="C767" s="73"/>
      <c r="D767" s="50"/>
      <c r="F767" s="50"/>
      <c r="H767" s="50"/>
    </row>
    <row r="768">
      <c r="A768" s="72"/>
      <c r="C768" s="73"/>
      <c r="D768" s="50"/>
      <c r="F768" s="50"/>
      <c r="H768" s="50"/>
    </row>
    <row r="769">
      <c r="A769" s="72"/>
      <c r="C769" s="73"/>
      <c r="D769" s="50"/>
      <c r="F769" s="50"/>
      <c r="H769" s="50"/>
    </row>
    <row r="770">
      <c r="A770" s="72"/>
      <c r="C770" s="73"/>
      <c r="D770" s="50"/>
      <c r="F770" s="50"/>
      <c r="H770" s="50"/>
    </row>
    <row r="771">
      <c r="A771" s="72"/>
      <c r="C771" s="73"/>
      <c r="D771" s="50"/>
      <c r="F771" s="50"/>
      <c r="H771" s="50"/>
    </row>
    <row r="772">
      <c r="A772" s="72"/>
      <c r="C772" s="73"/>
      <c r="D772" s="50"/>
      <c r="F772" s="50"/>
      <c r="H772" s="50"/>
    </row>
    <row r="773">
      <c r="A773" s="72"/>
      <c r="C773" s="73"/>
      <c r="D773" s="50"/>
      <c r="F773" s="50"/>
      <c r="H773" s="50"/>
    </row>
    <row r="774">
      <c r="A774" s="72"/>
      <c r="C774" s="73"/>
      <c r="D774" s="50"/>
      <c r="F774" s="50"/>
      <c r="H774" s="50"/>
    </row>
    <row r="775">
      <c r="A775" s="72"/>
      <c r="C775" s="73"/>
      <c r="D775" s="50"/>
      <c r="F775" s="50"/>
      <c r="H775" s="50"/>
    </row>
    <row r="776">
      <c r="A776" s="72"/>
      <c r="C776" s="73"/>
      <c r="D776" s="50"/>
      <c r="F776" s="50"/>
      <c r="H776" s="50"/>
    </row>
    <row r="777">
      <c r="A777" s="72"/>
      <c r="C777" s="73"/>
      <c r="D777" s="50"/>
      <c r="F777" s="50"/>
      <c r="H777" s="50"/>
    </row>
    <row r="778">
      <c r="A778" s="72"/>
      <c r="C778" s="73"/>
      <c r="D778" s="50"/>
      <c r="F778" s="50"/>
      <c r="H778" s="50"/>
    </row>
    <row r="779">
      <c r="A779" s="72"/>
      <c r="C779" s="73"/>
      <c r="D779" s="50"/>
      <c r="F779" s="50"/>
      <c r="H779" s="50"/>
    </row>
    <row r="780">
      <c r="A780" s="72"/>
      <c r="C780" s="73"/>
      <c r="D780" s="50"/>
      <c r="F780" s="50"/>
      <c r="H780" s="50"/>
    </row>
    <row r="781">
      <c r="A781" s="72"/>
      <c r="C781" s="73"/>
      <c r="D781" s="50"/>
      <c r="F781" s="50"/>
      <c r="H781" s="50"/>
    </row>
    <row r="782">
      <c r="A782" s="72"/>
      <c r="C782" s="73"/>
      <c r="D782" s="50"/>
      <c r="F782" s="50"/>
      <c r="H782" s="50"/>
    </row>
    <row r="783">
      <c r="A783" s="72"/>
      <c r="C783" s="73"/>
      <c r="D783" s="50"/>
      <c r="F783" s="50"/>
      <c r="H783" s="50"/>
    </row>
    <row r="784">
      <c r="A784" s="72"/>
      <c r="C784" s="73"/>
      <c r="D784" s="50"/>
      <c r="F784" s="50"/>
      <c r="H784" s="50"/>
    </row>
    <row r="785">
      <c r="A785" s="72"/>
      <c r="C785" s="73"/>
      <c r="D785" s="50"/>
      <c r="F785" s="50"/>
      <c r="H785" s="50"/>
    </row>
    <row r="786">
      <c r="A786" s="72"/>
      <c r="C786" s="73"/>
      <c r="D786" s="50"/>
      <c r="F786" s="50"/>
      <c r="H786" s="50"/>
    </row>
    <row r="787">
      <c r="A787" s="72"/>
      <c r="C787" s="73"/>
      <c r="D787" s="50"/>
      <c r="F787" s="50"/>
      <c r="H787" s="50"/>
    </row>
    <row r="788">
      <c r="A788" s="72"/>
      <c r="C788" s="73"/>
      <c r="D788" s="50"/>
      <c r="F788" s="50"/>
      <c r="H788" s="50"/>
    </row>
    <row r="789">
      <c r="A789" s="72"/>
      <c r="C789" s="73"/>
      <c r="D789" s="50"/>
      <c r="F789" s="50"/>
      <c r="H789" s="50"/>
    </row>
    <row r="790">
      <c r="A790" s="72"/>
      <c r="C790" s="73"/>
      <c r="D790" s="50"/>
      <c r="F790" s="50"/>
      <c r="H790" s="50"/>
    </row>
    <row r="791">
      <c r="A791" s="72"/>
      <c r="C791" s="73"/>
      <c r="D791" s="50"/>
      <c r="F791" s="50"/>
      <c r="H791" s="50"/>
    </row>
    <row r="792">
      <c r="A792" s="72"/>
      <c r="C792" s="73"/>
      <c r="D792" s="50"/>
      <c r="F792" s="50"/>
      <c r="H792" s="50"/>
    </row>
    <row r="793">
      <c r="A793" s="72"/>
      <c r="C793" s="73"/>
      <c r="D793" s="50"/>
      <c r="F793" s="50"/>
      <c r="H793" s="50"/>
    </row>
    <row r="794">
      <c r="A794" s="72"/>
      <c r="C794" s="73"/>
      <c r="D794" s="50"/>
      <c r="F794" s="50"/>
      <c r="H794" s="50"/>
    </row>
    <row r="795">
      <c r="A795" s="72"/>
      <c r="C795" s="73"/>
      <c r="D795" s="50"/>
      <c r="F795" s="50"/>
      <c r="H795" s="50"/>
    </row>
    <row r="796">
      <c r="A796" s="72"/>
      <c r="C796" s="73"/>
      <c r="D796" s="50"/>
      <c r="F796" s="50"/>
      <c r="H796" s="50"/>
    </row>
    <row r="797">
      <c r="A797" s="72"/>
      <c r="C797" s="73"/>
      <c r="D797" s="50"/>
      <c r="F797" s="50"/>
      <c r="H797" s="50"/>
    </row>
    <row r="798">
      <c r="A798" s="72"/>
      <c r="C798" s="73"/>
      <c r="D798" s="50"/>
      <c r="F798" s="50"/>
      <c r="H798" s="50"/>
    </row>
    <row r="799">
      <c r="A799" s="72"/>
      <c r="C799" s="73"/>
      <c r="D799" s="50"/>
      <c r="F799" s="50"/>
      <c r="H799" s="50"/>
    </row>
    <row r="800">
      <c r="A800" s="72"/>
      <c r="C800" s="73"/>
      <c r="D800" s="50"/>
      <c r="F800" s="50"/>
      <c r="H800" s="50"/>
    </row>
    <row r="801">
      <c r="A801" s="72"/>
      <c r="C801" s="73"/>
      <c r="D801" s="50"/>
      <c r="F801" s="50"/>
      <c r="H801" s="50"/>
    </row>
    <row r="802">
      <c r="A802" s="72"/>
      <c r="C802" s="73"/>
      <c r="D802" s="50"/>
      <c r="F802" s="50"/>
      <c r="H802" s="50"/>
    </row>
    <row r="803">
      <c r="A803" s="72"/>
      <c r="C803" s="73"/>
      <c r="D803" s="50"/>
      <c r="F803" s="50"/>
      <c r="H803" s="50"/>
    </row>
    <row r="804">
      <c r="A804" s="72"/>
      <c r="C804" s="73"/>
      <c r="D804" s="50"/>
      <c r="F804" s="50"/>
      <c r="H804" s="50"/>
    </row>
    <row r="805">
      <c r="A805" s="72"/>
      <c r="C805" s="73"/>
      <c r="D805" s="50"/>
      <c r="F805" s="50"/>
      <c r="H805" s="50"/>
    </row>
    <row r="806">
      <c r="A806" s="72"/>
      <c r="C806" s="73"/>
      <c r="D806" s="50"/>
      <c r="F806" s="50"/>
      <c r="H806" s="50"/>
    </row>
    <row r="807">
      <c r="A807" s="72"/>
      <c r="C807" s="73"/>
      <c r="D807" s="50"/>
      <c r="F807" s="50"/>
      <c r="H807" s="50"/>
    </row>
    <row r="808">
      <c r="A808" s="72"/>
      <c r="C808" s="73"/>
      <c r="D808" s="50"/>
      <c r="F808" s="50"/>
      <c r="H808" s="50"/>
    </row>
    <row r="809">
      <c r="A809" s="72"/>
      <c r="C809" s="73"/>
      <c r="D809" s="50"/>
      <c r="F809" s="50"/>
      <c r="H809" s="50"/>
    </row>
    <row r="810">
      <c r="A810" s="72"/>
      <c r="C810" s="73"/>
      <c r="D810" s="50"/>
      <c r="F810" s="50"/>
      <c r="H810" s="50"/>
    </row>
    <row r="811">
      <c r="A811" s="72"/>
      <c r="C811" s="73"/>
      <c r="D811" s="50"/>
      <c r="F811" s="50"/>
      <c r="H811" s="50"/>
    </row>
    <row r="812">
      <c r="A812" s="72"/>
      <c r="C812" s="73"/>
      <c r="D812" s="50"/>
      <c r="F812" s="50"/>
      <c r="H812" s="50"/>
    </row>
    <row r="813">
      <c r="A813" s="72"/>
      <c r="C813" s="73"/>
      <c r="D813" s="50"/>
      <c r="F813" s="50"/>
      <c r="H813" s="50"/>
    </row>
    <row r="814">
      <c r="A814" s="72"/>
      <c r="C814" s="73"/>
      <c r="D814" s="50"/>
      <c r="F814" s="50"/>
      <c r="H814" s="50"/>
    </row>
    <row r="815">
      <c r="A815" s="72"/>
      <c r="C815" s="73"/>
      <c r="D815" s="50"/>
      <c r="F815" s="50"/>
      <c r="H815" s="50"/>
    </row>
    <row r="816">
      <c r="A816" s="72"/>
      <c r="C816" s="73"/>
      <c r="D816" s="50"/>
      <c r="F816" s="50"/>
      <c r="H816" s="50"/>
    </row>
    <row r="817">
      <c r="A817" s="72"/>
      <c r="C817" s="73"/>
      <c r="D817" s="50"/>
      <c r="F817" s="50"/>
      <c r="H817" s="50"/>
    </row>
    <row r="818">
      <c r="A818" s="72"/>
      <c r="C818" s="73"/>
      <c r="D818" s="50"/>
      <c r="F818" s="50"/>
      <c r="H818" s="50"/>
    </row>
    <row r="819">
      <c r="A819" s="72"/>
      <c r="C819" s="73"/>
      <c r="D819" s="50"/>
      <c r="F819" s="50"/>
      <c r="H819" s="50"/>
    </row>
    <row r="820">
      <c r="A820" s="72"/>
      <c r="C820" s="73"/>
      <c r="D820" s="50"/>
      <c r="F820" s="50"/>
      <c r="H820" s="50"/>
    </row>
    <row r="821">
      <c r="A821" s="72"/>
      <c r="C821" s="73"/>
      <c r="D821" s="50"/>
      <c r="F821" s="50"/>
      <c r="H821" s="50"/>
    </row>
    <row r="822">
      <c r="A822" s="72"/>
      <c r="C822" s="73"/>
      <c r="D822" s="50"/>
      <c r="F822" s="50"/>
      <c r="H822" s="50"/>
    </row>
    <row r="823">
      <c r="A823" s="72"/>
      <c r="C823" s="73"/>
      <c r="D823" s="50"/>
      <c r="F823" s="50"/>
      <c r="H823" s="50"/>
    </row>
    <row r="824">
      <c r="A824" s="72"/>
      <c r="C824" s="73"/>
      <c r="D824" s="50"/>
      <c r="F824" s="50"/>
      <c r="H824" s="50"/>
    </row>
    <row r="825">
      <c r="A825" s="72"/>
      <c r="C825" s="73"/>
      <c r="D825" s="50"/>
      <c r="F825" s="50"/>
      <c r="H825" s="50"/>
    </row>
    <row r="826">
      <c r="A826" s="72"/>
      <c r="C826" s="73"/>
      <c r="D826" s="50"/>
      <c r="F826" s="50"/>
      <c r="H826" s="50"/>
    </row>
    <row r="827">
      <c r="A827" s="72"/>
      <c r="C827" s="73"/>
      <c r="D827" s="50"/>
      <c r="F827" s="50"/>
      <c r="H827" s="50"/>
    </row>
    <row r="828">
      <c r="A828" s="72"/>
      <c r="C828" s="73"/>
      <c r="D828" s="50"/>
      <c r="F828" s="50"/>
      <c r="H828" s="50"/>
    </row>
    <row r="829">
      <c r="A829" s="72"/>
      <c r="C829" s="73"/>
      <c r="D829" s="50"/>
      <c r="F829" s="50"/>
      <c r="H829" s="50"/>
    </row>
    <row r="830">
      <c r="A830" s="72"/>
      <c r="C830" s="73"/>
      <c r="D830" s="50"/>
      <c r="F830" s="50"/>
      <c r="H830" s="50"/>
    </row>
    <row r="831">
      <c r="A831" s="72"/>
      <c r="C831" s="73"/>
      <c r="D831" s="50"/>
      <c r="F831" s="50"/>
      <c r="H831" s="50"/>
    </row>
    <row r="832">
      <c r="A832" s="72"/>
      <c r="C832" s="73"/>
      <c r="D832" s="50"/>
      <c r="F832" s="50"/>
      <c r="H832" s="50"/>
    </row>
    <row r="833">
      <c r="A833" s="72"/>
      <c r="C833" s="73"/>
      <c r="D833" s="50"/>
      <c r="F833" s="50"/>
      <c r="H833" s="50"/>
    </row>
    <row r="834">
      <c r="A834" s="72"/>
      <c r="C834" s="73"/>
      <c r="D834" s="50"/>
      <c r="F834" s="50"/>
      <c r="H834" s="50"/>
    </row>
    <row r="835">
      <c r="A835" s="72"/>
      <c r="C835" s="73"/>
      <c r="D835" s="50"/>
      <c r="F835" s="50"/>
      <c r="H835" s="50"/>
    </row>
    <row r="836">
      <c r="A836" s="72"/>
      <c r="C836" s="73"/>
      <c r="D836" s="50"/>
      <c r="F836" s="50"/>
      <c r="H836" s="50"/>
    </row>
    <row r="837">
      <c r="A837" s="72"/>
      <c r="C837" s="73"/>
      <c r="D837" s="50"/>
      <c r="F837" s="50"/>
      <c r="H837" s="50"/>
    </row>
    <row r="838">
      <c r="A838" s="72"/>
      <c r="C838" s="73"/>
      <c r="D838" s="50"/>
      <c r="F838" s="50"/>
      <c r="H838" s="50"/>
    </row>
    <row r="839">
      <c r="A839" s="72"/>
      <c r="C839" s="73"/>
      <c r="D839" s="50"/>
      <c r="F839" s="50"/>
      <c r="H839" s="50"/>
    </row>
    <row r="840">
      <c r="A840" s="72"/>
      <c r="C840" s="73"/>
      <c r="D840" s="50"/>
      <c r="F840" s="50"/>
      <c r="H840" s="50"/>
    </row>
    <row r="841">
      <c r="A841" s="72"/>
      <c r="C841" s="73"/>
      <c r="D841" s="50"/>
      <c r="F841" s="50"/>
      <c r="H841" s="50"/>
    </row>
    <row r="842">
      <c r="A842" s="72"/>
      <c r="C842" s="73"/>
      <c r="D842" s="50"/>
      <c r="F842" s="50"/>
      <c r="H842" s="50"/>
    </row>
    <row r="843">
      <c r="A843" s="72"/>
      <c r="C843" s="73"/>
      <c r="D843" s="50"/>
      <c r="F843" s="50"/>
      <c r="H843" s="50"/>
    </row>
    <row r="844">
      <c r="A844" s="72"/>
      <c r="C844" s="73"/>
      <c r="D844" s="50"/>
      <c r="F844" s="50"/>
      <c r="H844" s="50"/>
    </row>
    <row r="845">
      <c r="A845" s="72"/>
      <c r="C845" s="73"/>
      <c r="D845" s="50"/>
      <c r="F845" s="50"/>
      <c r="H845" s="50"/>
    </row>
    <row r="846">
      <c r="A846" s="72"/>
      <c r="C846" s="73"/>
      <c r="D846" s="50"/>
      <c r="F846" s="50"/>
      <c r="H846" s="50"/>
    </row>
    <row r="847">
      <c r="A847" s="72"/>
      <c r="C847" s="73"/>
      <c r="D847" s="50"/>
      <c r="F847" s="50"/>
      <c r="H847" s="50"/>
    </row>
    <row r="848">
      <c r="A848" s="72"/>
      <c r="C848" s="73"/>
      <c r="D848" s="50"/>
      <c r="F848" s="50"/>
      <c r="H848" s="50"/>
    </row>
    <row r="849">
      <c r="A849" s="72"/>
      <c r="C849" s="73"/>
      <c r="D849" s="50"/>
      <c r="F849" s="50"/>
      <c r="H849" s="50"/>
    </row>
    <row r="850">
      <c r="A850" s="72"/>
      <c r="C850" s="73"/>
      <c r="D850" s="50"/>
      <c r="F850" s="50"/>
      <c r="H850" s="50"/>
    </row>
    <row r="851">
      <c r="A851" s="72"/>
      <c r="C851" s="73"/>
      <c r="D851" s="50"/>
      <c r="F851" s="50"/>
      <c r="H851" s="50"/>
    </row>
    <row r="852">
      <c r="A852" s="72"/>
      <c r="C852" s="73"/>
      <c r="D852" s="50"/>
      <c r="F852" s="50"/>
      <c r="H852" s="50"/>
    </row>
    <row r="853">
      <c r="A853" s="72"/>
      <c r="C853" s="73"/>
      <c r="D853" s="50"/>
      <c r="F853" s="50"/>
      <c r="H853" s="50"/>
    </row>
    <row r="854">
      <c r="A854" s="72"/>
      <c r="C854" s="73"/>
      <c r="D854" s="50"/>
      <c r="F854" s="50"/>
      <c r="H854" s="50"/>
    </row>
    <row r="855">
      <c r="A855" s="72"/>
      <c r="C855" s="73"/>
      <c r="D855" s="50"/>
      <c r="F855" s="50"/>
      <c r="H855" s="50"/>
    </row>
    <row r="856">
      <c r="A856" s="72"/>
      <c r="C856" s="73"/>
      <c r="D856" s="50"/>
      <c r="F856" s="50"/>
      <c r="H856" s="50"/>
    </row>
    <row r="857">
      <c r="A857" s="72"/>
      <c r="C857" s="73"/>
      <c r="D857" s="50"/>
      <c r="F857" s="50"/>
      <c r="H857" s="50"/>
    </row>
    <row r="858">
      <c r="A858" s="72"/>
      <c r="C858" s="73"/>
      <c r="D858" s="50"/>
      <c r="F858" s="50"/>
      <c r="H858" s="50"/>
    </row>
    <row r="859">
      <c r="A859" s="72"/>
      <c r="C859" s="73"/>
      <c r="D859" s="50"/>
      <c r="F859" s="50"/>
      <c r="H859" s="50"/>
    </row>
    <row r="860">
      <c r="A860" s="72"/>
      <c r="C860" s="73"/>
      <c r="D860" s="50"/>
      <c r="F860" s="50"/>
      <c r="H860" s="50"/>
    </row>
    <row r="861">
      <c r="A861" s="72"/>
      <c r="C861" s="73"/>
      <c r="D861" s="50"/>
      <c r="F861" s="50"/>
      <c r="H861" s="50"/>
    </row>
    <row r="862">
      <c r="A862" s="72"/>
      <c r="C862" s="73"/>
      <c r="D862" s="50"/>
      <c r="F862" s="50"/>
      <c r="H862" s="50"/>
    </row>
    <row r="863">
      <c r="A863" s="72"/>
      <c r="C863" s="73"/>
      <c r="D863" s="50"/>
      <c r="F863" s="50"/>
      <c r="H863" s="50"/>
    </row>
    <row r="864">
      <c r="A864" s="72"/>
      <c r="C864" s="73"/>
      <c r="D864" s="50"/>
      <c r="F864" s="50"/>
      <c r="H864" s="50"/>
    </row>
    <row r="865">
      <c r="A865" s="72"/>
      <c r="C865" s="73"/>
      <c r="D865" s="50"/>
      <c r="F865" s="50"/>
      <c r="H865" s="50"/>
    </row>
    <row r="866">
      <c r="A866" s="72"/>
      <c r="C866" s="73"/>
      <c r="D866" s="50"/>
      <c r="F866" s="50"/>
      <c r="H866" s="50"/>
    </row>
    <row r="867">
      <c r="A867" s="72"/>
      <c r="C867" s="73"/>
      <c r="D867" s="50"/>
      <c r="F867" s="50"/>
      <c r="H867" s="50"/>
    </row>
    <row r="868">
      <c r="A868" s="72"/>
      <c r="C868" s="73"/>
      <c r="D868" s="50"/>
      <c r="F868" s="50"/>
      <c r="H868" s="50"/>
    </row>
    <row r="869">
      <c r="A869" s="72"/>
      <c r="C869" s="73"/>
      <c r="D869" s="50"/>
      <c r="F869" s="50"/>
      <c r="H869" s="50"/>
    </row>
    <row r="870">
      <c r="A870" s="72"/>
      <c r="C870" s="73"/>
      <c r="D870" s="50"/>
      <c r="F870" s="50"/>
      <c r="H870" s="50"/>
    </row>
    <row r="871">
      <c r="A871" s="72"/>
      <c r="C871" s="73"/>
      <c r="D871" s="50"/>
      <c r="F871" s="50"/>
      <c r="H871" s="50"/>
    </row>
    <row r="872">
      <c r="A872" s="72"/>
      <c r="C872" s="73"/>
      <c r="D872" s="50"/>
      <c r="F872" s="50"/>
      <c r="H872" s="50"/>
    </row>
    <row r="873">
      <c r="A873" s="72"/>
      <c r="C873" s="73"/>
      <c r="D873" s="50"/>
      <c r="F873" s="50"/>
      <c r="H873" s="50"/>
    </row>
    <row r="874">
      <c r="A874" s="72"/>
      <c r="C874" s="73"/>
      <c r="D874" s="50"/>
      <c r="F874" s="50"/>
      <c r="H874" s="50"/>
    </row>
    <row r="875">
      <c r="A875" s="72"/>
      <c r="C875" s="73"/>
      <c r="D875" s="50"/>
      <c r="F875" s="50"/>
      <c r="H875" s="50"/>
    </row>
    <row r="876">
      <c r="A876" s="72"/>
      <c r="C876" s="73"/>
      <c r="D876" s="50"/>
      <c r="F876" s="50"/>
      <c r="H876" s="50"/>
    </row>
    <row r="877">
      <c r="A877" s="72"/>
      <c r="C877" s="73"/>
      <c r="D877" s="50"/>
      <c r="F877" s="50"/>
      <c r="H877" s="50"/>
    </row>
    <row r="878">
      <c r="A878" s="72"/>
      <c r="C878" s="73"/>
      <c r="D878" s="50"/>
      <c r="F878" s="50"/>
      <c r="H878" s="50"/>
    </row>
    <row r="879">
      <c r="A879" s="72"/>
      <c r="C879" s="73"/>
      <c r="D879" s="50"/>
      <c r="F879" s="50"/>
      <c r="H879" s="50"/>
    </row>
    <row r="880">
      <c r="A880" s="72"/>
      <c r="C880" s="73"/>
      <c r="D880" s="50"/>
      <c r="F880" s="50"/>
      <c r="H880" s="50"/>
    </row>
    <row r="881">
      <c r="A881" s="72"/>
      <c r="C881" s="73"/>
      <c r="D881" s="50"/>
      <c r="F881" s="50"/>
      <c r="H881" s="50"/>
    </row>
    <row r="882">
      <c r="A882" s="72"/>
      <c r="C882" s="73"/>
      <c r="D882" s="50"/>
      <c r="F882" s="50"/>
      <c r="H882" s="50"/>
    </row>
    <row r="883">
      <c r="A883" s="72"/>
      <c r="C883" s="73"/>
      <c r="D883" s="50"/>
      <c r="F883" s="50"/>
      <c r="H883" s="50"/>
    </row>
    <row r="884">
      <c r="A884" s="72"/>
      <c r="C884" s="73"/>
      <c r="D884" s="50"/>
      <c r="F884" s="50"/>
      <c r="H884" s="50"/>
    </row>
    <row r="885">
      <c r="A885" s="72"/>
      <c r="C885" s="73"/>
      <c r="D885" s="50"/>
      <c r="F885" s="50"/>
      <c r="H885" s="50"/>
    </row>
    <row r="886">
      <c r="A886" s="72"/>
      <c r="C886" s="73"/>
      <c r="D886" s="50"/>
      <c r="F886" s="50"/>
      <c r="H886" s="50"/>
    </row>
    <row r="887">
      <c r="A887" s="72"/>
      <c r="C887" s="73"/>
      <c r="D887" s="50"/>
      <c r="F887" s="50"/>
      <c r="H887" s="50"/>
    </row>
    <row r="888">
      <c r="A888" s="72"/>
      <c r="C888" s="73"/>
      <c r="D888" s="50"/>
      <c r="F888" s="50"/>
      <c r="H888" s="50"/>
    </row>
    <row r="889">
      <c r="A889" s="72"/>
      <c r="C889" s="73"/>
      <c r="D889" s="50"/>
      <c r="F889" s="50"/>
      <c r="H889" s="50"/>
    </row>
    <row r="890">
      <c r="A890" s="72"/>
      <c r="C890" s="73"/>
      <c r="D890" s="50"/>
      <c r="F890" s="50"/>
      <c r="H890" s="50"/>
    </row>
    <row r="891">
      <c r="A891" s="72"/>
      <c r="C891" s="73"/>
      <c r="D891" s="50"/>
      <c r="F891" s="50"/>
      <c r="H891" s="50"/>
    </row>
    <row r="892">
      <c r="A892" s="72"/>
      <c r="C892" s="73"/>
      <c r="D892" s="50"/>
      <c r="F892" s="50"/>
      <c r="H892" s="50"/>
    </row>
    <row r="893">
      <c r="A893" s="72"/>
      <c r="C893" s="73"/>
      <c r="D893" s="50"/>
      <c r="F893" s="50"/>
      <c r="H893" s="50"/>
    </row>
    <row r="894">
      <c r="A894" s="72"/>
      <c r="C894" s="73"/>
      <c r="D894" s="50"/>
      <c r="F894" s="50"/>
      <c r="H894" s="50"/>
    </row>
    <row r="895">
      <c r="A895" s="72"/>
      <c r="C895" s="73"/>
      <c r="D895" s="50"/>
      <c r="F895" s="50"/>
      <c r="H895" s="50"/>
    </row>
    <row r="896">
      <c r="A896" s="72"/>
      <c r="C896" s="73"/>
      <c r="D896" s="50"/>
      <c r="F896" s="50"/>
      <c r="H896" s="50"/>
    </row>
    <row r="897">
      <c r="A897" s="72"/>
      <c r="C897" s="73"/>
      <c r="D897" s="50"/>
      <c r="F897" s="50"/>
      <c r="H897" s="50"/>
    </row>
    <row r="898">
      <c r="A898" s="72"/>
      <c r="C898" s="73"/>
      <c r="D898" s="50"/>
      <c r="F898" s="50"/>
      <c r="H898" s="50"/>
    </row>
    <row r="899">
      <c r="A899" s="72"/>
      <c r="C899" s="73"/>
      <c r="D899" s="50"/>
      <c r="F899" s="50"/>
      <c r="H899" s="50"/>
    </row>
    <row r="900">
      <c r="A900" s="72"/>
      <c r="C900" s="73"/>
      <c r="D900" s="50"/>
      <c r="F900" s="50"/>
      <c r="H900" s="50"/>
    </row>
    <row r="901">
      <c r="A901" s="72"/>
      <c r="C901" s="73"/>
      <c r="D901" s="50"/>
      <c r="F901" s="50"/>
      <c r="H901" s="50"/>
    </row>
    <row r="902">
      <c r="A902" s="72"/>
      <c r="C902" s="73"/>
      <c r="D902" s="50"/>
      <c r="F902" s="50"/>
      <c r="H902" s="50"/>
    </row>
    <row r="903">
      <c r="A903" s="72"/>
      <c r="C903" s="73"/>
      <c r="D903" s="50"/>
      <c r="F903" s="50"/>
      <c r="H903" s="50"/>
    </row>
    <row r="904">
      <c r="A904" s="72"/>
      <c r="C904" s="73"/>
      <c r="D904" s="50"/>
      <c r="F904" s="50"/>
      <c r="H904" s="50"/>
    </row>
    <row r="905">
      <c r="A905" s="72"/>
      <c r="C905" s="73"/>
      <c r="D905" s="50"/>
      <c r="F905" s="50"/>
      <c r="H905" s="50"/>
    </row>
    <row r="906">
      <c r="A906" s="72"/>
      <c r="C906" s="73"/>
      <c r="D906" s="50"/>
      <c r="F906" s="50"/>
      <c r="H906" s="50"/>
    </row>
    <row r="907">
      <c r="A907" s="72"/>
      <c r="C907" s="73"/>
      <c r="D907" s="50"/>
      <c r="F907" s="50"/>
      <c r="H907" s="50"/>
    </row>
    <row r="908">
      <c r="A908" s="72"/>
      <c r="C908" s="73"/>
      <c r="D908" s="50"/>
      <c r="F908" s="50"/>
      <c r="H908" s="50"/>
    </row>
    <row r="909">
      <c r="A909" s="72"/>
      <c r="C909" s="73"/>
      <c r="D909" s="50"/>
      <c r="F909" s="50"/>
      <c r="H909" s="50"/>
    </row>
    <row r="910">
      <c r="A910" s="72"/>
      <c r="C910" s="73"/>
      <c r="D910" s="50"/>
      <c r="F910" s="50"/>
      <c r="H910" s="50"/>
    </row>
    <row r="911">
      <c r="A911" s="72"/>
      <c r="C911" s="73"/>
      <c r="D911" s="50"/>
      <c r="F911" s="50"/>
      <c r="H911" s="50"/>
    </row>
    <row r="912">
      <c r="A912" s="72"/>
      <c r="C912" s="73"/>
      <c r="D912" s="50"/>
      <c r="F912" s="50"/>
      <c r="H912" s="50"/>
    </row>
    <row r="913">
      <c r="A913" s="72"/>
      <c r="C913" s="73"/>
      <c r="D913" s="50"/>
      <c r="F913" s="50"/>
      <c r="H913" s="50"/>
    </row>
    <row r="914">
      <c r="A914" s="72"/>
      <c r="C914" s="73"/>
      <c r="D914" s="50"/>
      <c r="F914" s="50"/>
      <c r="H914" s="50"/>
    </row>
    <row r="915">
      <c r="A915" s="72"/>
      <c r="C915" s="73"/>
      <c r="D915" s="50"/>
      <c r="F915" s="50"/>
      <c r="H915" s="50"/>
    </row>
    <row r="916">
      <c r="A916" s="72"/>
      <c r="C916" s="73"/>
      <c r="D916" s="50"/>
      <c r="F916" s="50"/>
      <c r="H916" s="50"/>
    </row>
    <row r="917">
      <c r="A917" s="72"/>
      <c r="C917" s="73"/>
      <c r="D917" s="50"/>
      <c r="F917" s="50"/>
      <c r="H917" s="50"/>
    </row>
    <row r="918">
      <c r="A918" s="72"/>
      <c r="C918" s="73"/>
      <c r="D918" s="50"/>
      <c r="F918" s="50"/>
      <c r="H918" s="50"/>
    </row>
    <row r="919">
      <c r="A919" s="72"/>
      <c r="C919" s="73"/>
      <c r="D919" s="50"/>
      <c r="F919" s="50"/>
      <c r="H919" s="50"/>
    </row>
    <row r="920">
      <c r="A920" s="72"/>
      <c r="C920" s="73"/>
      <c r="D920" s="50"/>
      <c r="F920" s="50"/>
      <c r="H920" s="50"/>
    </row>
    <row r="921">
      <c r="A921" s="72"/>
      <c r="C921" s="73"/>
      <c r="D921" s="50"/>
      <c r="F921" s="50"/>
      <c r="H921" s="50"/>
    </row>
    <row r="922">
      <c r="A922" s="72"/>
      <c r="C922" s="73"/>
      <c r="D922" s="50"/>
      <c r="F922" s="50"/>
      <c r="H922" s="50"/>
    </row>
    <row r="923">
      <c r="A923" s="72"/>
      <c r="C923" s="73"/>
      <c r="D923" s="50"/>
      <c r="F923" s="50"/>
      <c r="H923" s="50"/>
    </row>
    <row r="924">
      <c r="A924" s="72"/>
      <c r="C924" s="73"/>
      <c r="D924" s="50"/>
      <c r="F924" s="50"/>
      <c r="H924" s="50"/>
    </row>
    <row r="925">
      <c r="A925" s="72"/>
      <c r="C925" s="73"/>
      <c r="D925" s="50"/>
      <c r="F925" s="50"/>
      <c r="H925" s="50"/>
    </row>
    <row r="926">
      <c r="A926" s="72"/>
      <c r="C926" s="73"/>
      <c r="D926" s="50"/>
      <c r="F926" s="50"/>
      <c r="H926" s="50"/>
    </row>
    <row r="927">
      <c r="A927" s="72"/>
      <c r="C927" s="73"/>
      <c r="D927" s="50"/>
      <c r="F927" s="50"/>
      <c r="H927" s="50"/>
    </row>
    <row r="928">
      <c r="A928" s="72"/>
      <c r="C928" s="73"/>
      <c r="D928" s="50"/>
      <c r="F928" s="50"/>
      <c r="H928" s="50"/>
    </row>
    <row r="929">
      <c r="A929" s="72"/>
      <c r="C929" s="73"/>
      <c r="D929" s="50"/>
      <c r="F929" s="50"/>
      <c r="H929" s="50"/>
    </row>
    <row r="930">
      <c r="A930" s="72"/>
      <c r="C930" s="73"/>
      <c r="D930" s="50"/>
      <c r="F930" s="50"/>
      <c r="H930" s="50"/>
    </row>
    <row r="931">
      <c r="A931" s="72"/>
      <c r="C931" s="73"/>
      <c r="D931" s="50"/>
      <c r="F931" s="50"/>
      <c r="H931" s="50"/>
    </row>
    <row r="932">
      <c r="A932" s="72"/>
      <c r="C932" s="73"/>
      <c r="D932" s="50"/>
      <c r="F932" s="50"/>
      <c r="H932" s="50"/>
    </row>
    <row r="933">
      <c r="A933" s="72"/>
      <c r="C933" s="73"/>
      <c r="D933" s="50"/>
      <c r="F933" s="50"/>
      <c r="H933" s="50"/>
    </row>
    <row r="934">
      <c r="A934" s="72"/>
      <c r="C934" s="73"/>
      <c r="D934" s="50"/>
      <c r="F934" s="50"/>
      <c r="H934" s="50"/>
    </row>
    <row r="935">
      <c r="A935" s="72"/>
      <c r="C935" s="73"/>
      <c r="D935" s="50"/>
      <c r="F935" s="50"/>
      <c r="H935" s="50"/>
    </row>
    <row r="936">
      <c r="A936" s="72"/>
      <c r="C936" s="73"/>
      <c r="D936" s="50"/>
      <c r="F936" s="50"/>
      <c r="H936" s="50"/>
    </row>
    <row r="937">
      <c r="A937" s="72"/>
      <c r="C937" s="73"/>
      <c r="D937" s="50"/>
      <c r="F937" s="50"/>
      <c r="H937" s="50"/>
    </row>
    <row r="938">
      <c r="A938" s="72"/>
      <c r="C938" s="73"/>
      <c r="D938" s="50"/>
      <c r="F938" s="50"/>
      <c r="H938" s="50"/>
    </row>
    <row r="939">
      <c r="A939" s="72"/>
      <c r="C939" s="73"/>
      <c r="D939" s="50"/>
      <c r="F939" s="50"/>
      <c r="H939" s="50"/>
    </row>
    <row r="940">
      <c r="A940" s="72"/>
      <c r="C940" s="73"/>
      <c r="D940" s="50"/>
      <c r="F940" s="50"/>
      <c r="H940" s="50"/>
    </row>
    <row r="941">
      <c r="A941" s="72"/>
      <c r="C941" s="73"/>
      <c r="D941" s="50"/>
      <c r="F941" s="50"/>
      <c r="H941" s="50"/>
    </row>
    <row r="942">
      <c r="A942" s="72"/>
      <c r="C942" s="73"/>
      <c r="D942" s="50"/>
      <c r="F942" s="50"/>
      <c r="H942" s="50"/>
    </row>
    <row r="943">
      <c r="A943" s="72"/>
      <c r="C943" s="73"/>
      <c r="D943" s="50"/>
      <c r="F943" s="50"/>
      <c r="H943" s="50"/>
    </row>
    <row r="944">
      <c r="A944" s="72"/>
      <c r="C944" s="73"/>
      <c r="D944" s="50"/>
      <c r="F944" s="50"/>
      <c r="H944" s="50"/>
    </row>
    <row r="945">
      <c r="A945" s="72"/>
      <c r="C945" s="73"/>
      <c r="D945" s="50"/>
      <c r="F945" s="50"/>
      <c r="H945" s="50"/>
    </row>
    <row r="946">
      <c r="A946" s="72"/>
      <c r="C946" s="73"/>
      <c r="D946" s="50"/>
      <c r="F946" s="50"/>
      <c r="H946" s="50"/>
    </row>
    <row r="947">
      <c r="A947" s="72"/>
      <c r="C947" s="73"/>
      <c r="D947" s="50"/>
      <c r="F947" s="50"/>
      <c r="H947" s="50"/>
    </row>
    <row r="948">
      <c r="A948" s="72"/>
      <c r="C948" s="73"/>
      <c r="D948" s="50"/>
      <c r="F948" s="50"/>
      <c r="H948" s="50"/>
    </row>
    <row r="949">
      <c r="A949" s="72"/>
      <c r="C949" s="73"/>
      <c r="D949" s="50"/>
      <c r="F949" s="50"/>
      <c r="H949" s="50"/>
    </row>
    <row r="950">
      <c r="A950" s="72"/>
      <c r="C950" s="73"/>
      <c r="D950" s="50"/>
      <c r="F950" s="50"/>
      <c r="H950" s="50"/>
    </row>
    <row r="951">
      <c r="A951" s="72"/>
      <c r="C951" s="73"/>
      <c r="D951" s="50"/>
      <c r="F951" s="50"/>
      <c r="H951" s="50"/>
    </row>
    <row r="952">
      <c r="A952" s="72"/>
      <c r="C952" s="73"/>
      <c r="D952" s="50"/>
      <c r="F952" s="50"/>
      <c r="H952" s="50"/>
    </row>
    <row r="953">
      <c r="A953" s="72"/>
      <c r="C953" s="73"/>
      <c r="D953" s="50"/>
      <c r="F953" s="50"/>
      <c r="H953" s="50"/>
    </row>
    <row r="954">
      <c r="A954" s="72"/>
      <c r="C954" s="73"/>
      <c r="D954" s="50"/>
      <c r="F954" s="50"/>
      <c r="H954" s="50"/>
    </row>
    <row r="955">
      <c r="A955" s="72"/>
      <c r="C955" s="73"/>
      <c r="D955" s="50"/>
      <c r="F955" s="50"/>
      <c r="H955" s="50"/>
    </row>
    <row r="956">
      <c r="A956" s="72"/>
      <c r="C956" s="73"/>
      <c r="D956" s="50"/>
      <c r="F956" s="50"/>
      <c r="H956" s="50"/>
    </row>
    <row r="957">
      <c r="A957" s="72"/>
      <c r="C957" s="73"/>
      <c r="D957" s="50"/>
      <c r="F957" s="50"/>
      <c r="H957" s="50"/>
    </row>
    <row r="958">
      <c r="A958" s="72"/>
      <c r="C958" s="73"/>
      <c r="D958" s="50"/>
      <c r="F958" s="50"/>
      <c r="H958" s="50"/>
    </row>
    <row r="959">
      <c r="A959" s="72"/>
      <c r="C959" s="73"/>
      <c r="D959" s="50"/>
      <c r="F959" s="50"/>
      <c r="H959" s="50"/>
    </row>
    <row r="960">
      <c r="A960" s="72"/>
      <c r="C960" s="73"/>
      <c r="D960" s="50"/>
      <c r="F960" s="50"/>
      <c r="H960" s="50"/>
    </row>
    <row r="961">
      <c r="A961" s="72"/>
      <c r="C961" s="73"/>
      <c r="D961" s="50"/>
      <c r="F961" s="50"/>
      <c r="H961" s="50"/>
    </row>
    <row r="962">
      <c r="A962" s="72"/>
      <c r="C962" s="73"/>
      <c r="D962" s="50"/>
      <c r="F962" s="50"/>
      <c r="H962" s="50"/>
    </row>
    <row r="963">
      <c r="A963" s="72"/>
      <c r="C963" s="73"/>
      <c r="D963" s="50"/>
      <c r="F963" s="50"/>
      <c r="H963" s="50"/>
    </row>
    <row r="964">
      <c r="A964" s="72"/>
      <c r="C964" s="73"/>
      <c r="D964" s="50"/>
      <c r="F964" s="50"/>
      <c r="H964" s="50"/>
    </row>
    <row r="965">
      <c r="A965" s="72"/>
      <c r="C965" s="73"/>
      <c r="D965" s="50"/>
      <c r="F965" s="50"/>
      <c r="H965" s="50"/>
    </row>
    <row r="966">
      <c r="A966" s="72"/>
      <c r="C966" s="73"/>
      <c r="D966" s="50"/>
      <c r="F966" s="50"/>
      <c r="H966" s="50"/>
    </row>
    <row r="967">
      <c r="A967" s="72"/>
      <c r="C967" s="73"/>
      <c r="D967" s="50"/>
      <c r="F967" s="50"/>
      <c r="H967" s="50"/>
    </row>
    <row r="968">
      <c r="A968" s="72"/>
      <c r="C968" s="73"/>
      <c r="D968" s="50"/>
      <c r="F968" s="50"/>
      <c r="H968" s="50"/>
    </row>
    <row r="969">
      <c r="A969" s="72"/>
      <c r="C969" s="73"/>
      <c r="D969" s="50"/>
      <c r="F969" s="50"/>
      <c r="H969" s="50"/>
    </row>
    <row r="970">
      <c r="A970" s="72"/>
      <c r="C970" s="73"/>
      <c r="D970" s="50"/>
      <c r="F970" s="50"/>
      <c r="H970" s="50"/>
    </row>
    <row r="971">
      <c r="A971" s="72"/>
      <c r="C971" s="73"/>
      <c r="D971" s="50"/>
      <c r="F971" s="50"/>
      <c r="H971" s="50"/>
    </row>
    <row r="972">
      <c r="A972" s="72"/>
      <c r="C972" s="73"/>
      <c r="D972" s="50"/>
      <c r="F972" s="50"/>
      <c r="H972" s="50"/>
    </row>
    <row r="973">
      <c r="A973" s="72"/>
      <c r="C973" s="73"/>
      <c r="D973" s="50"/>
      <c r="F973" s="50"/>
      <c r="H973" s="50"/>
    </row>
    <row r="974">
      <c r="A974" s="72"/>
      <c r="C974" s="73"/>
      <c r="D974" s="50"/>
      <c r="F974" s="50"/>
      <c r="H974" s="50"/>
    </row>
    <row r="975">
      <c r="A975" s="72"/>
      <c r="C975" s="73"/>
      <c r="D975" s="50"/>
      <c r="F975" s="50"/>
      <c r="H975" s="50"/>
    </row>
    <row r="976">
      <c r="A976" s="72"/>
      <c r="C976" s="73"/>
      <c r="D976" s="50"/>
      <c r="F976" s="50"/>
      <c r="H976" s="50"/>
    </row>
    <row r="977">
      <c r="A977" s="72"/>
      <c r="C977" s="73"/>
      <c r="D977" s="50"/>
      <c r="F977" s="50"/>
      <c r="H977" s="50"/>
    </row>
    <row r="978">
      <c r="A978" s="72"/>
      <c r="C978" s="73"/>
      <c r="D978" s="50"/>
      <c r="F978" s="50"/>
      <c r="H978" s="50"/>
    </row>
    <row r="979">
      <c r="A979" s="72"/>
      <c r="C979" s="73"/>
      <c r="D979" s="50"/>
      <c r="F979" s="50"/>
      <c r="H979" s="50"/>
    </row>
    <row r="980">
      <c r="A980" s="72"/>
      <c r="C980" s="73"/>
      <c r="D980" s="50"/>
      <c r="F980" s="50"/>
      <c r="H980" s="50"/>
    </row>
    <row r="981">
      <c r="A981" s="72"/>
      <c r="C981" s="73"/>
      <c r="D981" s="50"/>
      <c r="F981" s="50"/>
      <c r="H981" s="50"/>
    </row>
    <row r="982">
      <c r="A982" s="72"/>
      <c r="C982" s="73"/>
      <c r="D982" s="50"/>
      <c r="F982" s="50"/>
      <c r="H982" s="50"/>
    </row>
    <row r="983">
      <c r="A983" s="72"/>
      <c r="C983" s="73"/>
      <c r="D983" s="50"/>
      <c r="F983" s="50"/>
      <c r="H983" s="50"/>
    </row>
    <row r="984">
      <c r="A984" s="72"/>
      <c r="C984" s="73"/>
      <c r="D984" s="50"/>
      <c r="F984" s="50"/>
      <c r="H984" s="50"/>
    </row>
    <row r="985">
      <c r="A985" s="72"/>
      <c r="C985" s="73"/>
      <c r="D985" s="50"/>
      <c r="F985" s="50"/>
      <c r="H985" s="50"/>
    </row>
    <row r="986">
      <c r="A986" s="72"/>
      <c r="C986" s="73"/>
      <c r="D986" s="50"/>
      <c r="F986" s="50"/>
      <c r="H986" s="50"/>
    </row>
    <row r="987">
      <c r="A987" s="72"/>
      <c r="C987" s="73"/>
      <c r="D987" s="50"/>
      <c r="F987" s="50"/>
      <c r="H987" s="50"/>
    </row>
    <row r="988">
      <c r="A988" s="72"/>
      <c r="C988" s="73"/>
      <c r="D988" s="50"/>
      <c r="F988" s="50"/>
      <c r="H988" s="50"/>
    </row>
    <row r="989">
      <c r="A989" s="72"/>
      <c r="C989" s="73"/>
      <c r="D989" s="50"/>
      <c r="F989" s="50"/>
      <c r="H989" s="50"/>
    </row>
    <row r="990">
      <c r="A990" s="72"/>
      <c r="C990" s="73"/>
      <c r="D990" s="50"/>
      <c r="F990" s="50"/>
      <c r="H990" s="50"/>
    </row>
    <row r="991">
      <c r="A991" s="72"/>
      <c r="C991" s="73"/>
      <c r="D991" s="50"/>
      <c r="F991" s="50"/>
      <c r="H991" s="50"/>
    </row>
    <row r="992">
      <c r="A992" s="72"/>
      <c r="C992" s="73"/>
      <c r="D992" s="50"/>
      <c r="F992" s="50"/>
      <c r="H992" s="50"/>
    </row>
    <row r="993">
      <c r="A993" s="72"/>
      <c r="C993" s="73"/>
      <c r="D993" s="50"/>
      <c r="F993" s="50"/>
      <c r="H993" s="50"/>
    </row>
    <row r="994">
      <c r="A994" s="72"/>
      <c r="C994" s="73"/>
      <c r="D994" s="50"/>
      <c r="F994" s="50"/>
      <c r="H994" s="50"/>
    </row>
    <row r="995">
      <c r="A995" s="72"/>
      <c r="C995" s="73"/>
      <c r="D995" s="50"/>
      <c r="F995" s="50"/>
      <c r="H995" s="50"/>
    </row>
    <row r="996">
      <c r="A996" s="72"/>
      <c r="C996" s="73"/>
      <c r="D996" s="50"/>
      <c r="F996" s="50"/>
      <c r="H996" s="50"/>
    </row>
    <row r="997">
      <c r="A997" s="72"/>
      <c r="C997" s="73"/>
      <c r="D997" s="50"/>
      <c r="F997" s="50"/>
      <c r="H997" s="50"/>
    </row>
    <row r="998">
      <c r="A998" s="72"/>
      <c r="C998" s="73"/>
      <c r="D998" s="50"/>
      <c r="F998" s="50"/>
      <c r="H998" s="50"/>
    </row>
    <row r="999">
      <c r="A999" s="72"/>
      <c r="C999" s="73"/>
      <c r="D999" s="50"/>
      <c r="F999" s="50"/>
      <c r="H999" s="50"/>
    </row>
    <row r="1000">
      <c r="A1000" s="72"/>
      <c r="C1000" s="73"/>
      <c r="D1000" s="50"/>
      <c r="F1000" s="50"/>
      <c r="H1000" s="50"/>
    </row>
    <row r="1001">
      <c r="A1001" s="72"/>
      <c r="C1001" s="73"/>
      <c r="D1001" s="50"/>
      <c r="F1001" s="50"/>
      <c r="H1001" s="50"/>
    </row>
    <row r="1002">
      <c r="A1002" s="72"/>
      <c r="C1002" s="73"/>
      <c r="D1002" s="50"/>
      <c r="F1002" s="50"/>
      <c r="H1002" s="50"/>
    </row>
    <row r="1003">
      <c r="A1003" s="72"/>
      <c r="C1003" s="73"/>
      <c r="D1003" s="50"/>
      <c r="F1003" s="50"/>
      <c r="H1003" s="50"/>
    </row>
    <row r="1004">
      <c r="A1004" s="72"/>
      <c r="C1004" s="73"/>
      <c r="D1004" s="50"/>
      <c r="F1004" s="50"/>
      <c r="H1004" s="50"/>
    </row>
    <row r="1005">
      <c r="A1005" s="72"/>
      <c r="C1005" s="73"/>
      <c r="D1005" s="50"/>
      <c r="F1005" s="50"/>
      <c r="H1005" s="50"/>
    </row>
    <row r="1006">
      <c r="A1006" s="72"/>
      <c r="C1006" s="73"/>
      <c r="D1006" s="50"/>
      <c r="F1006" s="50"/>
      <c r="H1006" s="50"/>
    </row>
    <row r="1007">
      <c r="A1007" s="72"/>
      <c r="C1007" s="73"/>
      <c r="D1007" s="50"/>
      <c r="F1007" s="50"/>
      <c r="H1007" s="50"/>
    </row>
  </sheetData>
  <mergeCells count="9">
    <mergeCell ref="E4:F4"/>
    <mergeCell ref="G4:H4"/>
    <mergeCell ref="A1:E2"/>
    <mergeCell ref="A3:B3"/>
    <mergeCell ref="C3:D3"/>
    <mergeCell ref="E3:F3"/>
    <mergeCell ref="G3:H3"/>
    <mergeCell ref="A4:B4"/>
    <mergeCell ref="C4:D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63.63"/>
  </cols>
  <sheetData>
    <row r="1">
      <c r="A1" s="16" t="s">
        <v>44</v>
      </c>
      <c r="B1" s="16" t="s">
        <v>65</v>
      </c>
    </row>
    <row r="2">
      <c r="A2" s="77">
        <v>44321.0625</v>
      </c>
      <c r="B2" s="7" t="s">
        <v>66</v>
      </c>
    </row>
    <row r="3">
      <c r="A3" s="77">
        <v>44321.541666666664</v>
      </c>
      <c r="B3" s="7" t="s">
        <v>67</v>
      </c>
    </row>
    <row r="4">
      <c r="A4" s="69" t="s">
        <v>68</v>
      </c>
      <c r="B4" s="7" t="s">
        <v>69</v>
      </c>
    </row>
    <row r="5">
      <c r="A5" s="77">
        <v>44328.916666666664</v>
      </c>
      <c r="B5" s="7" t="s">
        <v>70</v>
      </c>
    </row>
    <row r="6">
      <c r="A6" s="77">
        <v>44377.895833333336</v>
      </c>
      <c r="B6" s="7" t="s">
        <v>71</v>
      </c>
    </row>
    <row r="7">
      <c r="A7" s="77">
        <v>44380.770833333336</v>
      </c>
      <c r="B7" s="7" t="s">
        <v>72</v>
      </c>
    </row>
    <row r="8">
      <c r="A8" s="77">
        <v>44380.875</v>
      </c>
      <c r="B8" s="7" t="s">
        <v>73</v>
      </c>
    </row>
    <row r="9">
      <c r="A9" s="77">
        <v>44386.375</v>
      </c>
      <c r="B9" s="7" t="s">
        <v>74</v>
      </c>
    </row>
    <row r="10">
      <c r="A10" s="77">
        <v>44387.583333333336</v>
      </c>
      <c r="B10" s="7" t="s">
        <v>75</v>
      </c>
    </row>
    <row r="11">
      <c r="A11" s="77">
        <v>44398.375</v>
      </c>
      <c r="B11" s="7" t="s">
        <v>76</v>
      </c>
    </row>
    <row r="12">
      <c r="A12" s="77">
        <v>44440.06458333333</v>
      </c>
      <c r="B12" s="7" t="s">
        <v>77</v>
      </c>
    </row>
    <row r="13">
      <c r="A13" s="77">
        <v>44445.06527777778</v>
      </c>
      <c r="B13" s="7" t="s">
        <v>78</v>
      </c>
    </row>
    <row r="14">
      <c r="A14" s="78">
        <v>44482.38055555556</v>
      </c>
      <c r="B14" s="7" t="s">
        <v>79</v>
      </c>
    </row>
    <row r="15">
      <c r="A15" s="78">
        <v>44530.385416666664</v>
      </c>
      <c r="B15" s="7" t="s">
        <v>80</v>
      </c>
    </row>
    <row r="16">
      <c r="A16" s="77">
        <v>44748.416666666664</v>
      </c>
      <c r="B16" s="7" t="s">
        <v>81</v>
      </c>
    </row>
    <row r="17">
      <c r="A17" s="77">
        <v>44750.604166666664</v>
      </c>
      <c r="B17" s="7" t="s">
        <v>82</v>
      </c>
    </row>
    <row r="18">
      <c r="A18" s="77">
        <v>44753.07638888889</v>
      </c>
      <c r="B18" s="7" t="s">
        <v>83</v>
      </c>
    </row>
    <row r="19">
      <c r="A19" s="77">
        <v>44774.66875</v>
      </c>
      <c r="B19" s="7" t="s">
        <v>84</v>
      </c>
    </row>
    <row r="20">
      <c r="A20" s="78">
        <v>44854.5</v>
      </c>
      <c r="B20" s="7" t="s">
        <v>85</v>
      </c>
    </row>
    <row r="21">
      <c r="A21" s="77">
        <v>44936.625</v>
      </c>
      <c r="B21" s="7" t="s">
        <v>86</v>
      </c>
    </row>
    <row r="22">
      <c r="A22" s="79"/>
    </row>
    <row r="23">
      <c r="A23" s="79"/>
    </row>
    <row r="24">
      <c r="A24" s="79"/>
    </row>
    <row r="25">
      <c r="A25" s="79"/>
    </row>
    <row r="26">
      <c r="A26" s="79"/>
    </row>
    <row r="27">
      <c r="A27" s="79"/>
    </row>
    <row r="28">
      <c r="A28" s="79"/>
    </row>
    <row r="29">
      <c r="A29" s="79"/>
    </row>
    <row r="30">
      <c r="A30" s="79"/>
    </row>
    <row r="31">
      <c r="A31" s="79"/>
    </row>
    <row r="32">
      <c r="A32" s="79"/>
    </row>
    <row r="33">
      <c r="A33" s="79"/>
    </row>
    <row r="34">
      <c r="A34" s="79"/>
    </row>
    <row r="35">
      <c r="A35" s="79"/>
    </row>
    <row r="36">
      <c r="A36" s="79"/>
    </row>
    <row r="37">
      <c r="A37" s="79"/>
    </row>
    <row r="38">
      <c r="A38" s="79"/>
    </row>
    <row r="39">
      <c r="A39" s="79"/>
    </row>
    <row r="40">
      <c r="A40" s="79"/>
    </row>
    <row r="41">
      <c r="A41" s="79"/>
    </row>
    <row r="42">
      <c r="A42" s="79"/>
    </row>
    <row r="43">
      <c r="A43" s="79"/>
    </row>
    <row r="44">
      <c r="A44" s="79"/>
    </row>
    <row r="45">
      <c r="A45" s="79"/>
    </row>
    <row r="46">
      <c r="A46" s="79"/>
    </row>
    <row r="47">
      <c r="A47" s="79"/>
    </row>
    <row r="48">
      <c r="A48" s="79"/>
    </row>
    <row r="49">
      <c r="A49" s="79"/>
    </row>
    <row r="50">
      <c r="A50" s="79"/>
    </row>
    <row r="51">
      <c r="A51" s="79"/>
    </row>
    <row r="52">
      <c r="A52" s="79"/>
    </row>
    <row r="53">
      <c r="A53" s="79"/>
    </row>
    <row r="54">
      <c r="A54" s="79"/>
    </row>
    <row r="55">
      <c r="A55" s="79"/>
    </row>
    <row r="56">
      <c r="A56" s="79"/>
    </row>
    <row r="57">
      <c r="A57" s="79"/>
    </row>
    <row r="58">
      <c r="A58" s="79"/>
    </row>
    <row r="59">
      <c r="A59" s="79"/>
    </row>
    <row r="60">
      <c r="A60" s="79"/>
    </row>
    <row r="61">
      <c r="A61" s="79"/>
    </row>
    <row r="62">
      <c r="A62" s="79"/>
    </row>
    <row r="63">
      <c r="A63" s="79"/>
    </row>
    <row r="64">
      <c r="A64" s="79"/>
    </row>
    <row r="65">
      <c r="A65" s="79"/>
    </row>
    <row r="66">
      <c r="A66" s="79"/>
    </row>
    <row r="67">
      <c r="A67" s="79"/>
    </row>
    <row r="68">
      <c r="A68" s="79"/>
    </row>
    <row r="69">
      <c r="A69" s="79"/>
    </row>
    <row r="70">
      <c r="A70" s="79"/>
    </row>
    <row r="71">
      <c r="A71" s="79"/>
    </row>
    <row r="72">
      <c r="A72" s="79"/>
    </row>
    <row r="73">
      <c r="A73" s="79"/>
    </row>
    <row r="74">
      <c r="A74" s="79"/>
    </row>
    <row r="75">
      <c r="A75" s="79"/>
    </row>
    <row r="76">
      <c r="A76" s="79"/>
    </row>
    <row r="77">
      <c r="A77" s="79"/>
    </row>
    <row r="78">
      <c r="A78" s="79"/>
    </row>
    <row r="79">
      <c r="A79" s="79"/>
    </row>
    <row r="80">
      <c r="A80" s="79"/>
    </row>
    <row r="81">
      <c r="A81" s="79"/>
    </row>
    <row r="82">
      <c r="A82" s="79"/>
    </row>
    <row r="83">
      <c r="A83" s="79"/>
    </row>
    <row r="84">
      <c r="A84" s="79"/>
    </row>
    <row r="85">
      <c r="A85" s="79"/>
    </row>
    <row r="86">
      <c r="A86" s="79"/>
    </row>
    <row r="87">
      <c r="A87" s="79"/>
    </row>
    <row r="88">
      <c r="A88" s="79"/>
    </row>
    <row r="89">
      <c r="A89" s="79"/>
    </row>
    <row r="90">
      <c r="A90" s="79"/>
    </row>
    <row r="91">
      <c r="A91" s="79"/>
    </row>
    <row r="92">
      <c r="A92" s="79"/>
    </row>
    <row r="93">
      <c r="A93" s="79"/>
    </row>
    <row r="94">
      <c r="A94" s="79"/>
    </row>
    <row r="95">
      <c r="A95" s="79"/>
    </row>
    <row r="96">
      <c r="A96" s="79"/>
    </row>
    <row r="97">
      <c r="A97" s="79"/>
    </row>
    <row r="98">
      <c r="A98" s="79"/>
    </row>
    <row r="99">
      <c r="A99" s="79"/>
    </row>
    <row r="100">
      <c r="A100" s="79"/>
    </row>
    <row r="101">
      <c r="A101" s="79"/>
    </row>
    <row r="102">
      <c r="A102" s="79"/>
    </row>
    <row r="103">
      <c r="A103" s="79"/>
    </row>
    <row r="104">
      <c r="A104" s="79"/>
    </row>
    <row r="105">
      <c r="A105" s="79"/>
    </row>
    <row r="106">
      <c r="A106" s="79"/>
    </row>
    <row r="107">
      <c r="A107" s="79"/>
    </row>
    <row r="108">
      <c r="A108" s="79"/>
    </row>
    <row r="109">
      <c r="A109" s="79"/>
    </row>
    <row r="110">
      <c r="A110" s="79"/>
    </row>
    <row r="111">
      <c r="A111" s="79"/>
    </row>
    <row r="112">
      <c r="A112" s="79"/>
    </row>
    <row r="113">
      <c r="A113" s="79"/>
    </row>
    <row r="114">
      <c r="A114" s="79"/>
    </row>
    <row r="115">
      <c r="A115" s="79"/>
    </row>
    <row r="116">
      <c r="A116" s="79"/>
    </row>
    <row r="117">
      <c r="A117" s="79"/>
    </row>
    <row r="118">
      <c r="A118" s="79"/>
    </row>
    <row r="119">
      <c r="A119" s="79"/>
    </row>
    <row r="120">
      <c r="A120" s="79"/>
    </row>
    <row r="121">
      <c r="A121" s="79"/>
    </row>
    <row r="122">
      <c r="A122" s="79"/>
    </row>
    <row r="123">
      <c r="A123" s="79"/>
    </row>
    <row r="124">
      <c r="A124" s="79"/>
    </row>
    <row r="125">
      <c r="A125" s="79"/>
    </row>
    <row r="126">
      <c r="A126" s="79"/>
    </row>
    <row r="127">
      <c r="A127" s="79"/>
    </row>
    <row r="128">
      <c r="A128" s="79"/>
    </row>
    <row r="129">
      <c r="A129" s="79"/>
    </row>
    <row r="130">
      <c r="A130" s="79"/>
    </row>
    <row r="131">
      <c r="A131" s="79"/>
    </row>
    <row r="132">
      <c r="A132" s="79"/>
    </row>
    <row r="133">
      <c r="A133" s="79"/>
    </row>
    <row r="134">
      <c r="A134" s="79"/>
    </row>
    <row r="135">
      <c r="A135" s="79"/>
    </row>
    <row r="136">
      <c r="A136" s="79"/>
    </row>
    <row r="137">
      <c r="A137" s="79"/>
    </row>
    <row r="138">
      <c r="A138" s="79"/>
    </row>
    <row r="139">
      <c r="A139" s="79"/>
    </row>
    <row r="140">
      <c r="A140" s="79"/>
    </row>
    <row r="141">
      <c r="A141" s="79"/>
    </row>
    <row r="142">
      <c r="A142" s="79"/>
    </row>
    <row r="143">
      <c r="A143" s="79"/>
    </row>
    <row r="144">
      <c r="A144" s="79"/>
    </row>
    <row r="145">
      <c r="A145" s="79"/>
    </row>
    <row r="146">
      <c r="A146" s="79"/>
    </row>
    <row r="147">
      <c r="A147" s="79"/>
    </row>
    <row r="148">
      <c r="A148" s="79"/>
    </row>
    <row r="149">
      <c r="A149" s="79"/>
    </row>
    <row r="150">
      <c r="A150" s="79"/>
    </row>
    <row r="151">
      <c r="A151" s="79"/>
    </row>
    <row r="152">
      <c r="A152" s="79"/>
    </row>
    <row r="153">
      <c r="A153" s="79"/>
    </row>
    <row r="154">
      <c r="A154" s="79"/>
    </row>
    <row r="155">
      <c r="A155" s="79"/>
    </row>
    <row r="156">
      <c r="A156" s="79"/>
    </row>
    <row r="157">
      <c r="A157" s="79"/>
    </row>
    <row r="158">
      <c r="A158" s="79"/>
    </row>
    <row r="159">
      <c r="A159" s="79"/>
    </row>
    <row r="160">
      <c r="A160" s="79"/>
    </row>
    <row r="161">
      <c r="A161" s="79"/>
    </row>
    <row r="162">
      <c r="A162" s="79"/>
    </row>
    <row r="163">
      <c r="A163" s="79"/>
    </row>
    <row r="164">
      <c r="A164" s="79"/>
    </row>
    <row r="165">
      <c r="A165" s="79"/>
    </row>
    <row r="166">
      <c r="A166" s="79"/>
    </row>
    <row r="167">
      <c r="A167" s="79"/>
    </row>
    <row r="168">
      <c r="A168" s="79"/>
    </row>
    <row r="169">
      <c r="A169" s="79"/>
    </row>
    <row r="170">
      <c r="A170" s="79"/>
    </row>
    <row r="171">
      <c r="A171" s="79"/>
    </row>
    <row r="172">
      <c r="A172" s="79"/>
    </row>
    <row r="173">
      <c r="A173" s="79"/>
    </row>
    <row r="174">
      <c r="A174" s="79"/>
    </row>
    <row r="175">
      <c r="A175" s="79"/>
    </row>
    <row r="176">
      <c r="A176" s="79"/>
    </row>
    <row r="177">
      <c r="A177" s="79"/>
    </row>
    <row r="178">
      <c r="A178" s="79"/>
    </row>
    <row r="179">
      <c r="A179" s="79"/>
    </row>
    <row r="180">
      <c r="A180" s="79"/>
    </row>
    <row r="181">
      <c r="A181" s="79"/>
    </row>
    <row r="182">
      <c r="A182" s="79"/>
    </row>
    <row r="183">
      <c r="A183" s="79"/>
    </row>
    <row r="184">
      <c r="A184" s="79"/>
    </row>
    <row r="185">
      <c r="A185" s="79"/>
    </row>
    <row r="186">
      <c r="A186" s="79"/>
    </row>
    <row r="187">
      <c r="A187" s="79"/>
    </row>
    <row r="188">
      <c r="A188" s="79"/>
    </row>
    <row r="189">
      <c r="A189" s="79"/>
    </row>
    <row r="190">
      <c r="A190" s="79"/>
    </row>
    <row r="191">
      <c r="A191" s="79"/>
    </row>
    <row r="192">
      <c r="A192" s="79"/>
    </row>
    <row r="193">
      <c r="A193" s="79"/>
    </row>
    <row r="194">
      <c r="A194" s="79"/>
    </row>
    <row r="195">
      <c r="A195" s="79"/>
    </row>
    <row r="196">
      <c r="A196" s="79"/>
    </row>
    <row r="197">
      <c r="A197" s="79"/>
    </row>
    <row r="198">
      <c r="A198" s="79"/>
    </row>
    <row r="199">
      <c r="A199" s="79"/>
    </row>
    <row r="200">
      <c r="A200" s="79"/>
    </row>
    <row r="201">
      <c r="A201" s="79"/>
    </row>
    <row r="202">
      <c r="A202" s="79"/>
    </row>
    <row r="203">
      <c r="A203" s="79"/>
    </row>
    <row r="204">
      <c r="A204" s="79"/>
    </row>
    <row r="205">
      <c r="A205" s="79"/>
    </row>
    <row r="206">
      <c r="A206" s="79"/>
    </row>
    <row r="207">
      <c r="A207" s="79"/>
    </row>
    <row r="208">
      <c r="A208" s="79"/>
    </row>
    <row r="209">
      <c r="A209" s="79"/>
    </row>
    <row r="210">
      <c r="A210" s="79"/>
    </row>
    <row r="211">
      <c r="A211" s="79"/>
    </row>
    <row r="212">
      <c r="A212" s="79"/>
    </row>
    <row r="213">
      <c r="A213" s="79"/>
    </row>
    <row r="214">
      <c r="A214" s="79"/>
    </row>
    <row r="215">
      <c r="A215" s="79"/>
    </row>
    <row r="216">
      <c r="A216" s="79"/>
    </row>
    <row r="217">
      <c r="A217" s="79"/>
    </row>
    <row r="218">
      <c r="A218" s="79"/>
    </row>
    <row r="219">
      <c r="A219" s="79"/>
    </row>
    <row r="220">
      <c r="A220" s="79"/>
    </row>
    <row r="221">
      <c r="A221" s="79"/>
    </row>
    <row r="222">
      <c r="A222" s="79"/>
    </row>
    <row r="223">
      <c r="A223" s="79"/>
    </row>
    <row r="224">
      <c r="A224" s="79"/>
    </row>
    <row r="225">
      <c r="A225" s="79"/>
    </row>
    <row r="226">
      <c r="A226" s="79"/>
    </row>
    <row r="227">
      <c r="A227" s="79"/>
    </row>
    <row r="228">
      <c r="A228" s="79"/>
    </row>
    <row r="229">
      <c r="A229" s="79"/>
    </row>
    <row r="230">
      <c r="A230" s="79"/>
    </row>
    <row r="231">
      <c r="A231" s="79"/>
    </row>
    <row r="232">
      <c r="A232" s="79"/>
    </row>
    <row r="233">
      <c r="A233" s="79"/>
    </row>
    <row r="234">
      <c r="A234" s="79"/>
    </row>
    <row r="235">
      <c r="A235" s="79"/>
    </row>
    <row r="236">
      <c r="A236" s="79"/>
    </row>
    <row r="237">
      <c r="A237" s="79"/>
    </row>
    <row r="238">
      <c r="A238" s="79"/>
    </row>
    <row r="239">
      <c r="A239" s="79"/>
    </row>
    <row r="240">
      <c r="A240" s="79"/>
    </row>
    <row r="241">
      <c r="A241" s="79"/>
    </row>
    <row r="242">
      <c r="A242" s="79"/>
    </row>
    <row r="243">
      <c r="A243" s="79"/>
    </row>
    <row r="244">
      <c r="A244" s="79"/>
    </row>
    <row r="245">
      <c r="A245" s="79"/>
    </row>
    <row r="246">
      <c r="A246" s="79"/>
    </row>
    <row r="247">
      <c r="A247" s="79"/>
    </row>
    <row r="248">
      <c r="A248" s="79"/>
    </row>
    <row r="249">
      <c r="A249" s="79"/>
    </row>
    <row r="250">
      <c r="A250" s="79"/>
    </row>
    <row r="251">
      <c r="A251" s="79"/>
    </row>
    <row r="252">
      <c r="A252" s="79"/>
    </row>
    <row r="253">
      <c r="A253" s="79"/>
    </row>
    <row r="254">
      <c r="A254" s="79"/>
    </row>
    <row r="255">
      <c r="A255" s="79"/>
    </row>
    <row r="256">
      <c r="A256" s="79"/>
    </row>
    <row r="257">
      <c r="A257" s="79"/>
    </row>
    <row r="258">
      <c r="A258" s="79"/>
    </row>
    <row r="259">
      <c r="A259" s="79"/>
    </row>
    <row r="260">
      <c r="A260" s="79"/>
    </row>
    <row r="261">
      <c r="A261" s="79"/>
    </row>
    <row r="262">
      <c r="A262" s="79"/>
    </row>
    <row r="263">
      <c r="A263" s="79"/>
    </row>
    <row r="264">
      <c r="A264" s="79"/>
    </row>
    <row r="265">
      <c r="A265" s="79"/>
    </row>
    <row r="266">
      <c r="A266" s="79"/>
    </row>
    <row r="267">
      <c r="A267" s="79"/>
    </row>
    <row r="268">
      <c r="A268" s="79"/>
    </row>
    <row r="269">
      <c r="A269" s="79"/>
    </row>
    <row r="270">
      <c r="A270" s="79"/>
    </row>
    <row r="271">
      <c r="A271" s="79"/>
    </row>
    <row r="272">
      <c r="A272" s="79"/>
    </row>
    <row r="273">
      <c r="A273" s="79"/>
    </row>
    <row r="274">
      <c r="A274" s="79"/>
    </row>
    <row r="275">
      <c r="A275" s="79"/>
    </row>
    <row r="276">
      <c r="A276" s="79"/>
    </row>
    <row r="277">
      <c r="A277" s="79"/>
    </row>
    <row r="278">
      <c r="A278" s="79"/>
    </row>
    <row r="279">
      <c r="A279" s="79"/>
    </row>
    <row r="280">
      <c r="A280" s="79"/>
    </row>
    <row r="281">
      <c r="A281" s="79"/>
    </row>
    <row r="282">
      <c r="A282" s="79"/>
    </row>
    <row r="283">
      <c r="A283" s="79"/>
    </row>
    <row r="284">
      <c r="A284" s="79"/>
    </row>
    <row r="285">
      <c r="A285" s="79"/>
    </row>
    <row r="286">
      <c r="A286" s="79"/>
    </row>
    <row r="287">
      <c r="A287" s="79"/>
    </row>
    <row r="288">
      <c r="A288" s="79"/>
    </row>
    <row r="289">
      <c r="A289" s="79"/>
    </row>
    <row r="290">
      <c r="A290" s="79"/>
    </row>
    <row r="291">
      <c r="A291" s="79"/>
    </row>
    <row r="292">
      <c r="A292" s="79"/>
    </row>
    <row r="293">
      <c r="A293" s="79"/>
    </row>
    <row r="294">
      <c r="A294" s="79"/>
    </row>
    <row r="295">
      <c r="A295" s="79"/>
    </row>
    <row r="296">
      <c r="A296" s="79"/>
    </row>
    <row r="297">
      <c r="A297" s="79"/>
    </row>
    <row r="298">
      <c r="A298" s="79"/>
    </row>
    <row r="299">
      <c r="A299" s="79"/>
    </row>
    <row r="300">
      <c r="A300" s="79"/>
    </row>
    <row r="301">
      <c r="A301" s="79"/>
    </row>
    <row r="302">
      <c r="A302" s="79"/>
    </row>
    <row r="303">
      <c r="A303" s="79"/>
    </row>
    <row r="304">
      <c r="A304" s="79"/>
    </row>
    <row r="305">
      <c r="A305" s="79"/>
    </row>
    <row r="306">
      <c r="A306" s="79"/>
    </row>
    <row r="307">
      <c r="A307" s="79"/>
    </row>
    <row r="308">
      <c r="A308" s="79"/>
    </row>
    <row r="309">
      <c r="A309" s="79"/>
    </row>
    <row r="310">
      <c r="A310" s="79"/>
    </row>
    <row r="311">
      <c r="A311" s="79"/>
    </row>
    <row r="312">
      <c r="A312" s="79"/>
    </row>
    <row r="313">
      <c r="A313" s="79"/>
    </row>
    <row r="314">
      <c r="A314" s="79"/>
    </row>
    <row r="315">
      <c r="A315" s="79"/>
    </row>
    <row r="316">
      <c r="A316" s="79"/>
    </row>
    <row r="317">
      <c r="A317" s="79"/>
    </row>
    <row r="318">
      <c r="A318" s="79"/>
    </row>
    <row r="319">
      <c r="A319" s="79"/>
    </row>
    <row r="320">
      <c r="A320" s="79"/>
    </row>
    <row r="321">
      <c r="A321" s="79"/>
    </row>
    <row r="322">
      <c r="A322" s="79"/>
    </row>
    <row r="323">
      <c r="A323" s="79"/>
    </row>
    <row r="324">
      <c r="A324" s="79"/>
    </row>
    <row r="325">
      <c r="A325" s="79"/>
    </row>
    <row r="326">
      <c r="A326" s="79"/>
    </row>
    <row r="327">
      <c r="A327" s="79"/>
    </row>
    <row r="328">
      <c r="A328" s="79"/>
    </row>
    <row r="329">
      <c r="A329" s="79"/>
    </row>
    <row r="330">
      <c r="A330" s="79"/>
    </row>
    <row r="331">
      <c r="A331" s="79"/>
    </row>
    <row r="332">
      <c r="A332" s="79"/>
    </row>
    <row r="333">
      <c r="A333" s="79"/>
    </row>
    <row r="334">
      <c r="A334" s="79"/>
    </row>
    <row r="335">
      <c r="A335" s="79"/>
    </row>
    <row r="336">
      <c r="A336" s="79"/>
    </row>
    <row r="337">
      <c r="A337" s="79"/>
    </row>
    <row r="338">
      <c r="A338" s="79"/>
    </row>
    <row r="339">
      <c r="A339" s="79"/>
    </row>
    <row r="340">
      <c r="A340" s="79"/>
    </row>
    <row r="341">
      <c r="A341" s="79"/>
    </row>
    <row r="342">
      <c r="A342" s="79"/>
    </row>
    <row r="343">
      <c r="A343" s="79"/>
    </row>
    <row r="344">
      <c r="A344" s="79"/>
    </row>
    <row r="345">
      <c r="A345" s="79"/>
    </row>
    <row r="346">
      <c r="A346" s="79"/>
    </row>
    <row r="347">
      <c r="A347" s="79"/>
    </row>
    <row r="348">
      <c r="A348" s="79"/>
    </row>
    <row r="349">
      <c r="A349" s="79"/>
    </row>
    <row r="350">
      <c r="A350" s="79"/>
    </row>
    <row r="351">
      <c r="A351" s="79"/>
    </row>
    <row r="352">
      <c r="A352" s="79"/>
    </row>
    <row r="353">
      <c r="A353" s="79"/>
    </row>
    <row r="354">
      <c r="A354" s="79"/>
    </row>
    <row r="355">
      <c r="A355" s="79"/>
    </row>
    <row r="356">
      <c r="A356" s="79"/>
    </row>
    <row r="357">
      <c r="A357" s="79"/>
    </row>
    <row r="358">
      <c r="A358" s="79"/>
    </row>
    <row r="359">
      <c r="A359" s="79"/>
    </row>
    <row r="360">
      <c r="A360" s="79"/>
    </row>
    <row r="361">
      <c r="A361" s="79"/>
    </row>
    <row r="362">
      <c r="A362" s="79"/>
    </row>
    <row r="363">
      <c r="A363" s="79"/>
    </row>
    <row r="364">
      <c r="A364" s="79"/>
    </row>
    <row r="365">
      <c r="A365" s="79"/>
    </row>
    <row r="366">
      <c r="A366" s="79"/>
    </row>
    <row r="367">
      <c r="A367" s="79"/>
    </row>
    <row r="368">
      <c r="A368" s="79"/>
    </row>
    <row r="369">
      <c r="A369" s="79"/>
    </row>
    <row r="370">
      <c r="A370" s="79"/>
    </row>
    <row r="371">
      <c r="A371" s="79"/>
    </row>
    <row r="372">
      <c r="A372" s="79"/>
    </row>
    <row r="373">
      <c r="A373" s="79"/>
    </row>
    <row r="374">
      <c r="A374" s="79"/>
    </row>
    <row r="375">
      <c r="A375" s="79"/>
    </row>
    <row r="376">
      <c r="A376" s="79"/>
    </row>
    <row r="377">
      <c r="A377" s="79"/>
    </row>
    <row r="378">
      <c r="A378" s="79"/>
    </row>
    <row r="379">
      <c r="A379" s="79"/>
    </row>
    <row r="380">
      <c r="A380" s="79"/>
    </row>
    <row r="381">
      <c r="A381" s="79"/>
    </row>
    <row r="382">
      <c r="A382" s="79"/>
    </row>
    <row r="383">
      <c r="A383" s="79"/>
    </row>
    <row r="384">
      <c r="A384" s="79"/>
    </row>
    <row r="385">
      <c r="A385" s="79"/>
    </row>
    <row r="386">
      <c r="A386" s="79"/>
    </row>
    <row r="387">
      <c r="A387" s="79"/>
    </row>
    <row r="388">
      <c r="A388" s="79"/>
    </row>
    <row r="389">
      <c r="A389" s="79"/>
    </row>
    <row r="390">
      <c r="A390" s="79"/>
    </row>
    <row r="391">
      <c r="A391" s="79"/>
    </row>
    <row r="392">
      <c r="A392" s="79"/>
    </row>
    <row r="393">
      <c r="A393" s="79"/>
    </row>
    <row r="394">
      <c r="A394" s="79"/>
    </row>
    <row r="395">
      <c r="A395" s="79"/>
    </row>
    <row r="396">
      <c r="A396" s="79"/>
    </row>
    <row r="397">
      <c r="A397" s="79"/>
    </row>
    <row r="398">
      <c r="A398" s="79"/>
    </row>
    <row r="399">
      <c r="A399" s="79"/>
    </row>
    <row r="400">
      <c r="A400" s="79"/>
    </row>
    <row r="401">
      <c r="A401" s="79"/>
    </row>
    <row r="402">
      <c r="A402" s="79"/>
    </row>
    <row r="403">
      <c r="A403" s="79"/>
    </row>
    <row r="404">
      <c r="A404" s="79"/>
    </row>
    <row r="405">
      <c r="A405" s="79"/>
    </row>
    <row r="406">
      <c r="A406" s="79"/>
    </row>
    <row r="407">
      <c r="A407" s="79"/>
    </row>
    <row r="408">
      <c r="A408" s="79"/>
    </row>
    <row r="409">
      <c r="A409" s="79"/>
    </row>
    <row r="410">
      <c r="A410" s="79"/>
    </row>
    <row r="411">
      <c r="A411" s="79"/>
    </row>
    <row r="412">
      <c r="A412" s="79"/>
    </row>
    <row r="413">
      <c r="A413" s="79"/>
    </row>
    <row r="414">
      <c r="A414" s="79"/>
    </row>
    <row r="415">
      <c r="A415" s="79"/>
    </row>
    <row r="416">
      <c r="A416" s="79"/>
    </row>
    <row r="417">
      <c r="A417" s="79"/>
    </row>
    <row r="418">
      <c r="A418" s="79"/>
    </row>
    <row r="419">
      <c r="A419" s="79"/>
    </row>
    <row r="420">
      <c r="A420" s="79"/>
    </row>
    <row r="421">
      <c r="A421" s="79"/>
    </row>
    <row r="422">
      <c r="A422" s="79"/>
    </row>
    <row r="423">
      <c r="A423" s="79"/>
    </row>
    <row r="424">
      <c r="A424" s="79"/>
    </row>
    <row r="425">
      <c r="A425" s="79"/>
    </row>
    <row r="426">
      <c r="A426" s="79"/>
    </row>
    <row r="427">
      <c r="A427" s="79"/>
    </row>
    <row r="428">
      <c r="A428" s="79"/>
    </row>
    <row r="429">
      <c r="A429" s="79"/>
    </row>
    <row r="430">
      <c r="A430" s="79"/>
    </row>
    <row r="431">
      <c r="A431" s="79"/>
    </row>
    <row r="432">
      <c r="A432" s="79"/>
    </row>
    <row r="433">
      <c r="A433" s="79"/>
    </row>
    <row r="434">
      <c r="A434" s="79"/>
    </row>
    <row r="435">
      <c r="A435" s="79"/>
    </row>
    <row r="436">
      <c r="A436" s="79"/>
    </row>
    <row r="437">
      <c r="A437" s="79"/>
    </row>
    <row r="438">
      <c r="A438" s="79"/>
    </row>
    <row r="439">
      <c r="A439" s="79"/>
    </row>
    <row r="440">
      <c r="A440" s="79"/>
    </row>
    <row r="441">
      <c r="A441" s="79"/>
    </row>
    <row r="442">
      <c r="A442" s="79"/>
    </row>
    <row r="443">
      <c r="A443" s="79"/>
    </row>
    <row r="444">
      <c r="A444" s="79"/>
    </row>
    <row r="445">
      <c r="A445" s="79"/>
    </row>
    <row r="446">
      <c r="A446" s="79"/>
    </row>
    <row r="447">
      <c r="A447" s="79"/>
    </row>
    <row r="448">
      <c r="A448" s="79"/>
    </row>
    <row r="449">
      <c r="A449" s="79"/>
    </row>
    <row r="450">
      <c r="A450" s="79"/>
    </row>
    <row r="451">
      <c r="A451" s="79"/>
    </row>
    <row r="452">
      <c r="A452" s="79"/>
    </row>
    <row r="453">
      <c r="A453" s="79"/>
    </row>
    <row r="454">
      <c r="A454" s="79"/>
    </row>
    <row r="455">
      <c r="A455" s="79"/>
    </row>
    <row r="456">
      <c r="A456" s="79"/>
    </row>
    <row r="457">
      <c r="A457" s="79"/>
    </row>
    <row r="458">
      <c r="A458" s="79"/>
    </row>
    <row r="459">
      <c r="A459" s="79"/>
    </row>
    <row r="460">
      <c r="A460" s="79"/>
    </row>
    <row r="461">
      <c r="A461" s="79"/>
    </row>
    <row r="462">
      <c r="A462" s="79"/>
    </row>
    <row r="463">
      <c r="A463" s="79"/>
    </row>
    <row r="464">
      <c r="A464" s="79"/>
    </row>
    <row r="465">
      <c r="A465" s="79"/>
    </row>
    <row r="466">
      <c r="A466" s="79"/>
    </row>
    <row r="467">
      <c r="A467" s="79"/>
    </row>
    <row r="468">
      <c r="A468" s="79"/>
    </row>
    <row r="469">
      <c r="A469" s="79"/>
    </row>
    <row r="470">
      <c r="A470" s="79"/>
    </row>
    <row r="471">
      <c r="A471" s="79"/>
    </row>
    <row r="472">
      <c r="A472" s="79"/>
    </row>
    <row r="473">
      <c r="A473" s="79"/>
    </row>
    <row r="474">
      <c r="A474" s="79"/>
    </row>
    <row r="475">
      <c r="A475" s="79"/>
    </row>
    <row r="476">
      <c r="A476" s="79"/>
    </row>
    <row r="477">
      <c r="A477" s="79"/>
    </row>
    <row r="478">
      <c r="A478" s="79"/>
    </row>
    <row r="479">
      <c r="A479" s="79"/>
    </row>
    <row r="480">
      <c r="A480" s="79"/>
    </row>
    <row r="481">
      <c r="A481" s="79"/>
    </row>
    <row r="482">
      <c r="A482" s="79"/>
    </row>
    <row r="483">
      <c r="A483" s="79"/>
    </row>
    <row r="484">
      <c r="A484" s="79"/>
    </row>
    <row r="485">
      <c r="A485" s="79"/>
    </row>
    <row r="486">
      <c r="A486" s="79"/>
    </row>
    <row r="487">
      <c r="A487" s="79"/>
    </row>
    <row r="488">
      <c r="A488" s="79"/>
    </row>
    <row r="489">
      <c r="A489" s="79"/>
    </row>
    <row r="490">
      <c r="A490" s="79"/>
    </row>
    <row r="491">
      <c r="A491" s="79"/>
    </row>
    <row r="492">
      <c r="A492" s="79"/>
    </row>
    <row r="493">
      <c r="A493" s="79"/>
    </row>
    <row r="494">
      <c r="A494" s="79"/>
    </row>
    <row r="495">
      <c r="A495" s="79"/>
    </row>
    <row r="496">
      <c r="A496" s="79"/>
    </row>
    <row r="497">
      <c r="A497" s="79"/>
    </row>
    <row r="498">
      <c r="A498" s="79"/>
    </row>
    <row r="499">
      <c r="A499" s="79"/>
    </row>
    <row r="500">
      <c r="A500" s="79"/>
    </row>
    <row r="501">
      <c r="A501" s="79"/>
    </row>
    <row r="502">
      <c r="A502" s="79"/>
    </row>
    <row r="503">
      <c r="A503" s="79"/>
    </row>
    <row r="504">
      <c r="A504" s="79"/>
    </row>
    <row r="505">
      <c r="A505" s="79"/>
    </row>
    <row r="506">
      <c r="A506" s="79"/>
    </row>
    <row r="507">
      <c r="A507" s="79"/>
    </row>
    <row r="508">
      <c r="A508" s="79"/>
    </row>
    <row r="509">
      <c r="A509" s="79"/>
    </row>
    <row r="510">
      <c r="A510" s="79"/>
    </row>
    <row r="511">
      <c r="A511" s="79"/>
    </row>
    <row r="512">
      <c r="A512" s="79"/>
    </row>
    <row r="513">
      <c r="A513" s="79"/>
    </row>
    <row r="514">
      <c r="A514" s="79"/>
    </row>
    <row r="515">
      <c r="A515" s="79"/>
    </row>
    <row r="516">
      <c r="A516" s="79"/>
    </row>
    <row r="517">
      <c r="A517" s="79"/>
    </row>
    <row r="518">
      <c r="A518" s="79"/>
    </row>
    <row r="519">
      <c r="A519" s="79"/>
    </row>
    <row r="520">
      <c r="A520" s="79"/>
    </row>
    <row r="521">
      <c r="A521" s="79"/>
    </row>
    <row r="522">
      <c r="A522" s="79"/>
    </row>
    <row r="523">
      <c r="A523" s="79"/>
    </row>
    <row r="524">
      <c r="A524" s="79"/>
    </row>
    <row r="525">
      <c r="A525" s="79"/>
    </row>
    <row r="526">
      <c r="A526" s="79"/>
    </row>
    <row r="527">
      <c r="A527" s="79"/>
    </row>
    <row r="528">
      <c r="A528" s="79"/>
    </row>
    <row r="529">
      <c r="A529" s="79"/>
    </row>
    <row r="530">
      <c r="A530" s="79"/>
    </row>
    <row r="531">
      <c r="A531" s="79"/>
    </row>
    <row r="532">
      <c r="A532" s="79"/>
    </row>
    <row r="533">
      <c r="A533" s="79"/>
    </row>
    <row r="534">
      <c r="A534" s="79"/>
    </row>
    <row r="535">
      <c r="A535" s="79"/>
    </row>
    <row r="536">
      <c r="A536" s="79"/>
    </row>
    <row r="537">
      <c r="A537" s="79"/>
    </row>
    <row r="538">
      <c r="A538" s="79"/>
    </row>
    <row r="539">
      <c r="A539" s="79"/>
    </row>
    <row r="540">
      <c r="A540" s="79"/>
    </row>
    <row r="541">
      <c r="A541" s="79"/>
    </row>
    <row r="542">
      <c r="A542" s="79"/>
    </row>
    <row r="543">
      <c r="A543" s="79"/>
    </row>
    <row r="544">
      <c r="A544" s="79"/>
    </row>
    <row r="545">
      <c r="A545" s="79"/>
    </row>
    <row r="546">
      <c r="A546" s="79"/>
    </row>
    <row r="547">
      <c r="A547" s="79"/>
    </row>
    <row r="548">
      <c r="A548" s="79"/>
    </row>
    <row r="549">
      <c r="A549" s="79"/>
    </row>
    <row r="550">
      <c r="A550" s="79"/>
    </row>
    <row r="551">
      <c r="A551" s="79"/>
    </row>
    <row r="552">
      <c r="A552" s="79"/>
    </row>
    <row r="553">
      <c r="A553" s="79"/>
    </row>
    <row r="554">
      <c r="A554" s="79"/>
    </row>
    <row r="555">
      <c r="A555" s="79"/>
    </row>
    <row r="556">
      <c r="A556" s="79"/>
    </row>
    <row r="557">
      <c r="A557" s="79"/>
    </row>
    <row r="558">
      <c r="A558" s="79"/>
    </row>
    <row r="559">
      <c r="A559" s="79"/>
    </row>
    <row r="560">
      <c r="A560" s="79"/>
    </row>
    <row r="561">
      <c r="A561" s="79"/>
    </row>
    <row r="562">
      <c r="A562" s="79"/>
    </row>
    <row r="563">
      <c r="A563" s="79"/>
    </row>
    <row r="564">
      <c r="A564" s="79"/>
    </row>
    <row r="565">
      <c r="A565" s="79"/>
    </row>
    <row r="566">
      <c r="A566" s="79"/>
    </row>
    <row r="567">
      <c r="A567" s="79"/>
    </row>
    <row r="568">
      <c r="A568" s="79"/>
    </row>
    <row r="569">
      <c r="A569" s="79"/>
    </row>
    <row r="570">
      <c r="A570" s="79"/>
    </row>
    <row r="571">
      <c r="A571" s="79"/>
    </row>
    <row r="572">
      <c r="A572" s="79"/>
    </row>
    <row r="573">
      <c r="A573" s="79"/>
    </row>
    <row r="574">
      <c r="A574" s="79"/>
    </row>
    <row r="575">
      <c r="A575" s="79"/>
    </row>
    <row r="576">
      <c r="A576" s="79"/>
    </row>
    <row r="577">
      <c r="A577" s="79"/>
    </row>
    <row r="578">
      <c r="A578" s="79"/>
    </row>
    <row r="579">
      <c r="A579" s="79"/>
    </row>
    <row r="580">
      <c r="A580" s="79"/>
    </row>
    <row r="581">
      <c r="A581" s="79"/>
    </row>
    <row r="582">
      <c r="A582" s="79"/>
    </row>
    <row r="583">
      <c r="A583" s="79"/>
    </row>
    <row r="584">
      <c r="A584" s="79"/>
    </row>
    <row r="585">
      <c r="A585" s="79"/>
    </row>
    <row r="586">
      <c r="A586" s="79"/>
    </row>
    <row r="587">
      <c r="A587" s="79"/>
    </row>
    <row r="588">
      <c r="A588" s="79"/>
    </row>
    <row r="589">
      <c r="A589" s="79"/>
    </row>
    <row r="590">
      <c r="A590" s="79"/>
    </row>
    <row r="591">
      <c r="A591" s="79"/>
    </row>
    <row r="592">
      <c r="A592" s="79"/>
    </row>
    <row r="593">
      <c r="A593" s="79"/>
    </row>
    <row r="594">
      <c r="A594" s="79"/>
    </row>
    <row r="595">
      <c r="A595" s="79"/>
    </row>
    <row r="596">
      <c r="A596" s="79"/>
    </row>
    <row r="597">
      <c r="A597" s="79"/>
    </row>
    <row r="598">
      <c r="A598" s="79"/>
    </row>
    <row r="599">
      <c r="A599" s="79"/>
    </row>
    <row r="600">
      <c r="A600" s="79"/>
    </row>
    <row r="601">
      <c r="A601" s="79"/>
    </row>
    <row r="602">
      <c r="A602" s="79"/>
    </row>
    <row r="603">
      <c r="A603" s="79"/>
    </row>
    <row r="604">
      <c r="A604" s="79"/>
    </row>
    <row r="605">
      <c r="A605" s="79"/>
    </row>
    <row r="606">
      <c r="A606" s="79"/>
    </row>
    <row r="607">
      <c r="A607" s="79"/>
    </row>
    <row r="608">
      <c r="A608" s="79"/>
    </row>
    <row r="609">
      <c r="A609" s="79"/>
    </row>
    <row r="610">
      <c r="A610" s="79"/>
    </row>
    <row r="611">
      <c r="A611" s="79"/>
    </row>
    <row r="612">
      <c r="A612" s="79"/>
    </row>
    <row r="613">
      <c r="A613" s="79"/>
    </row>
    <row r="614">
      <c r="A614" s="79"/>
    </row>
    <row r="615">
      <c r="A615" s="79"/>
    </row>
    <row r="616">
      <c r="A616" s="79"/>
    </row>
    <row r="617">
      <c r="A617" s="79"/>
    </row>
    <row r="618">
      <c r="A618" s="79"/>
    </row>
    <row r="619">
      <c r="A619" s="79"/>
    </row>
    <row r="620">
      <c r="A620" s="79"/>
    </row>
    <row r="621">
      <c r="A621" s="79"/>
    </row>
    <row r="622">
      <c r="A622" s="79"/>
    </row>
    <row r="623">
      <c r="A623" s="79"/>
    </row>
    <row r="624">
      <c r="A624" s="79"/>
    </row>
    <row r="625">
      <c r="A625" s="79"/>
    </row>
    <row r="626">
      <c r="A626" s="79"/>
    </row>
    <row r="627">
      <c r="A627" s="79"/>
    </row>
    <row r="628">
      <c r="A628" s="79"/>
    </row>
    <row r="629">
      <c r="A629" s="79"/>
    </row>
    <row r="630">
      <c r="A630" s="79"/>
    </row>
    <row r="631">
      <c r="A631" s="79"/>
    </row>
    <row r="632">
      <c r="A632" s="79"/>
    </row>
    <row r="633">
      <c r="A633" s="79"/>
    </row>
    <row r="634">
      <c r="A634" s="79"/>
    </row>
    <row r="635">
      <c r="A635" s="79"/>
    </row>
    <row r="636">
      <c r="A636" s="79"/>
    </row>
    <row r="637">
      <c r="A637" s="79"/>
    </row>
    <row r="638">
      <c r="A638" s="79"/>
    </row>
    <row r="639">
      <c r="A639" s="79"/>
    </row>
    <row r="640">
      <c r="A640" s="79"/>
    </row>
    <row r="641">
      <c r="A641" s="79"/>
    </row>
    <row r="642">
      <c r="A642" s="79"/>
    </row>
    <row r="643">
      <c r="A643" s="79"/>
    </row>
    <row r="644">
      <c r="A644" s="79"/>
    </row>
    <row r="645">
      <c r="A645" s="79"/>
    </row>
    <row r="646">
      <c r="A646" s="79"/>
    </row>
    <row r="647">
      <c r="A647" s="79"/>
    </row>
    <row r="648">
      <c r="A648" s="79"/>
    </row>
    <row r="649">
      <c r="A649" s="79"/>
    </row>
    <row r="650">
      <c r="A650" s="79"/>
    </row>
    <row r="651">
      <c r="A651" s="79"/>
    </row>
    <row r="652">
      <c r="A652" s="79"/>
    </row>
    <row r="653">
      <c r="A653" s="79"/>
    </row>
    <row r="654">
      <c r="A654" s="79"/>
    </row>
    <row r="655">
      <c r="A655" s="79"/>
    </row>
    <row r="656">
      <c r="A656" s="79"/>
    </row>
    <row r="657">
      <c r="A657" s="79"/>
    </row>
    <row r="658">
      <c r="A658" s="79"/>
    </row>
    <row r="659">
      <c r="A659" s="79"/>
    </row>
    <row r="660">
      <c r="A660" s="79"/>
    </row>
    <row r="661">
      <c r="A661" s="79"/>
    </row>
    <row r="662">
      <c r="A662" s="79"/>
    </row>
    <row r="663">
      <c r="A663" s="79"/>
    </row>
    <row r="664">
      <c r="A664" s="79"/>
    </row>
    <row r="665">
      <c r="A665" s="79"/>
    </row>
    <row r="666">
      <c r="A666" s="79"/>
    </row>
    <row r="667">
      <c r="A667" s="79"/>
    </row>
    <row r="668">
      <c r="A668" s="79"/>
    </row>
    <row r="669">
      <c r="A669" s="79"/>
    </row>
    <row r="670">
      <c r="A670" s="79"/>
    </row>
    <row r="671">
      <c r="A671" s="79"/>
    </row>
    <row r="672">
      <c r="A672" s="79"/>
    </row>
    <row r="673">
      <c r="A673" s="79"/>
    </row>
    <row r="674">
      <c r="A674" s="79"/>
    </row>
    <row r="675">
      <c r="A675" s="79"/>
    </row>
    <row r="676">
      <c r="A676" s="79"/>
    </row>
    <row r="677">
      <c r="A677" s="79"/>
    </row>
    <row r="678">
      <c r="A678" s="79"/>
    </row>
    <row r="679">
      <c r="A679" s="79"/>
    </row>
    <row r="680">
      <c r="A680" s="79"/>
    </row>
    <row r="681">
      <c r="A681" s="79"/>
    </row>
    <row r="682">
      <c r="A682" s="79"/>
    </row>
    <row r="683">
      <c r="A683" s="79"/>
    </row>
    <row r="684">
      <c r="A684" s="79"/>
    </row>
    <row r="685">
      <c r="A685" s="79"/>
    </row>
    <row r="686">
      <c r="A686" s="79"/>
    </row>
    <row r="687">
      <c r="A687" s="79"/>
    </row>
    <row r="688">
      <c r="A688" s="79"/>
    </row>
    <row r="689">
      <c r="A689" s="79"/>
    </row>
    <row r="690">
      <c r="A690" s="79"/>
    </row>
    <row r="691">
      <c r="A691" s="79"/>
    </row>
    <row r="692">
      <c r="A692" s="79"/>
    </row>
    <row r="693">
      <c r="A693" s="79"/>
    </row>
    <row r="694">
      <c r="A694" s="79"/>
    </row>
    <row r="695">
      <c r="A695" s="79"/>
    </row>
    <row r="696">
      <c r="A696" s="79"/>
    </row>
    <row r="697">
      <c r="A697" s="79"/>
    </row>
    <row r="698">
      <c r="A698" s="79"/>
    </row>
    <row r="699">
      <c r="A699" s="79"/>
    </row>
    <row r="700">
      <c r="A700" s="79"/>
    </row>
    <row r="701">
      <c r="A701" s="79"/>
    </row>
    <row r="702">
      <c r="A702" s="79"/>
    </row>
    <row r="703">
      <c r="A703" s="79"/>
    </row>
    <row r="704">
      <c r="A704" s="79"/>
    </row>
    <row r="705">
      <c r="A705" s="79"/>
    </row>
    <row r="706">
      <c r="A706" s="79"/>
    </row>
    <row r="707">
      <c r="A707" s="79"/>
    </row>
    <row r="708">
      <c r="A708" s="79"/>
    </row>
    <row r="709">
      <c r="A709" s="79"/>
    </row>
    <row r="710">
      <c r="A710" s="79"/>
    </row>
    <row r="711">
      <c r="A711" s="79"/>
    </row>
    <row r="712">
      <c r="A712" s="79"/>
    </row>
    <row r="713">
      <c r="A713" s="79"/>
    </row>
    <row r="714">
      <c r="A714" s="79"/>
    </row>
    <row r="715">
      <c r="A715" s="79"/>
    </row>
    <row r="716">
      <c r="A716" s="79"/>
    </row>
    <row r="717">
      <c r="A717" s="79"/>
    </row>
    <row r="718">
      <c r="A718" s="79"/>
    </row>
    <row r="719">
      <c r="A719" s="79"/>
    </row>
    <row r="720">
      <c r="A720" s="79"/>
    </row>
    <row r="721">
      <c r="A721" s="79"/>
    </row>
    <row r="722">
      <c r="A722" s="79"/>
    </row>
    <row r="723">
      <c r="A723" s="79"/>
    </row>
    <row r="724">
      <c r="A724" s="79"/>
    </row>
    <row r="725">
      <c r="A725" s="79"/>
    </row>
    <row r="726">
      <c r="A726" s="79"/>
    </row>
    <row r="727">
      <c r="A727" s="79"/>
    </row>
    <row r="728">
      <c r="A728" s="79"/>
    </row>
    <row r="729">
      <c r="A729" s="79"/>
    </row>
    <row r="730">
      <c r="A730" s="79"/>
    </row>
    <row r="731">
      <c r="A731" s="79"/>
    </row>
    <row r="732">
      <c r="A732" s="79"/>
    </row>
    <row r="733">
      <c r="A733" s="79"/>
    </row>
    <row r="734">
      <c r="A734" s="79"/>
    </row>
    <row r="735">
      <c r="A735" s="79"/>
    </row>
    <row r="736">
      <c r="A736" s="79"/>
    </row>
    <row r="737">
      <c r="A737" s="79"/>
    </row>
    <row r="738">
      <c r="A738" s="79"/>
    </row>
    <row r="739">
      <c r="A739" s="79"/>
    </row>
    <row r="740">
      <c r="A740" s="79"/>
    </row>
    <row r="741">
      <c r="A741" s="79"/>
    </row>
    <row r="742">
      <c r="A742" s="79"/>
    </row>
    <row r="743">
      <c r="A743" s="79"/>
    </row>
    <row r="744">
      <c r="A744" s="79"/>
    </row>
    <row r="745">
      <c r="A745" s="79"/>
    </row>
    <row r="746">
      <c r="A746" s="79"/>
    </row>
    <row r="747">
      <c r="A747" s="79"/>
    </row>
    <row r="748">
      <c r="A748" s="79"/>
    </row>
    <row r="749">
      <c r="A749" s="79"/>
    </row>
    <row r="750">
      <c r="A750" s="79"/>
    </row>
    <row r="751">
      <c r="A751" s="79"/>
    </row>
    <row r="752">
      <c r="A752" s="79"/>
    </row>
    <row r="753">
      <c r="A753" s="79"/>
    </row>
    <row r="754">
      <c r="A754" s="79"/>
    </row>
    <row r="755">
      <c r="A755" s="79"/>
    </row>
    <row r="756">
      <c r="A756" s="79"/>
    </row>
    <row r="757">
      <c r="A757" s="79"/>
    </row>
    <row r="758">
      <c r="A758" s="79"/>
    </row>
    <row r="759">
      <c r="A759" s="79"/>
    </row>
    <row r="760">
      <c r="A760" s="79"/>
    </row>
    <row r="761">
      <c r="A761" s="79"/>
    </row>
    <row r="762">
      <c r="A762" s="79"/>
    </row>
    <row r="763">
      <c r="A763" s="79"/>
    </row>
    <row r="764">
      <c r="A764" s="79"/>
    </row>
    <row r="765">
      <c r="A765" s="79"/>
    </row>
    <row r="766">
      <c r="A766" s="79"/>
    </row>
    <row r="767">
      <c r="A767" s="79"/>
    </row>
    <row r="768">
      <c r="A768" s="79"/>
    </row>
    <row r="769">
      <c r="A769" s="79"/>
    </row>
    <row r="770">
      <c r="A770" s="79"/>
    </row>
    <row r="771">
      <c r="A771" s="79"/>
    </row>
    <row r="772">
      <c r="A772" s="79"/>
    </row>
    <row r="773">
      <c r="A773" s="79"/>
    </row>
    <row r="774">
      <c r="A774" s="79"/>
    </row>
    <row r="775">
      <c r="A775" s="79"/>
    </row>
    <row r="776">
      <c r="A776" s="79"/>
    </row>
    <row r="777">
      <c r="A777" s="79"/>
    </row>
    <row r="778">
      <c r="A778" s="79"/>
    </row>
    <row r="779">
      <c r="A779" s="79"/>
    </row>
    <row r="780">
      <c r="A780" s="79"/>
    </row>
    <row r="781">
      <c r="A781" s="79"/>
    </row>
    <row r="782">
      <c r="A782" s="79"/>
    </row>
    <row r="783">
      <c r="A783" s="79"/>
    </row>
    <row r="784">
      <c r="A784" s="79"/>
    </row>
    <row r="785">
      <c r="A785" s="79"/>
    </row>
    <row r="786">
      <c r="A786" s="79"/>
    </row>
    <row r="787">
      <c r="A787" s="79"/>
    </row>
    <row r="788">
      <c r="A788" s="79"/>
    </row>
    <row r="789">
      <c r="A789" s="79"/>
    </row>
    <row r="790">
      <c r="A790" s="79"/>
    </row>
    <row r="791">
      <c r="A791" s="79"/>
    </row>
    <row r="792">
      <c r="A792" s="79"/>
    </row>
    <row r="793">
      <c r="A793" s="79"/>
    </row>
    <row r="794">
      <c r="A794" s="79"/>
    </row>
    <row r="795">
      <c r="A795" s="79"/>
    </row>
    <row r="796">
      <c r="A796" s="79"/>
    </row>
    <row r="797">
      <c r="A797" s="79"/>
    </row>
    <row r="798">
      <c r="A798" s="79"/>
    </row>
    <row r="799">
      <c r="A799" s="79"/>
    </row>
    <row r="800">
      <c r="A800" s="79"/>
    </row>
    <row r="801">
      <c r="A801" s="79"/>
    </row>
    <row r="802">
      <c r="A802" s="79"/>
    </row>
    <row r="803">
      <c r="A803" s="79"/>
    </row>
    <row r="804">
      <c r="A804" s="79"/>
    </row>
    <row r="805">
      <c r="A805" s="79"/>
    </row>
    <row r="806">
      <c r="A806" s="79"/>
    </row>
    <row r="807">
      <c r="A807" s="79"/>
    </row>
    <row r="808">
      <c r="A808" s="79"/>
    </row>
    <row r="809">
      <c r="A809" s="79"/>
    </row>
    <row r="810">
      <c r="A810" s="79"/>
    </row>
    <row r="811">
      <c r="A811" s="79"/>
    </row>
    <row r="812">
      <c r="A812" s="79"/>
    </row>
    <row r="813">
      <c r="A813" s="79"/>
    </row>
    <row r="814">
      <c r="A814" s="79"/>
    </row>
    <row r="815">
      <c r="A815" s="79"/>
    </row>
    <row r="816">
      <c r="A816" s="79"/>
    </row>
    <row r="817">
      <c r="A817" s="79"/>
    </row>
    <row r="818">
      <c r="A818" s="79"/>
    </row>
    <row r="819">
      <c r="A819" s="79"/>
    </row>
    <row r="820">
      <c r="A820" s="79"/>
    </row>
    <row r="821">
      <c r="A821" s="79"/>
    </row>
    <row r="822">
      <c r="A822" s="79"/>
    </row>
    <row r="823">
      <c r="A823" s="79"/>
    </row>
    <row r="824">
      <c r="A824" s="79"/>
    </row>
    <row r="825">
      <c r="A825" s="79"/>
    </row>
    <row r="826">
      <c r="A826" s="79"/>
    </row>
    <row r="827">
      <c r="A827" s="79"/>
    </row>
    <row r="828">
      <c r="A828" s="79"/>
    </row>
    <row r="829">
      <c r="A829" s="79"/>
    </row>
    <row r="830">
      <c r="A830" s="79"/>
    </row>
    <row r="831">
      <c r="A831" s="79"/>
    </row>
    <row r="832">
      <c r="A832" s="79"/>
    </row>
    <row r="833">
      <c r="A833" s="79"/>
    </row>
    <row r="834">
      <c r="A834" s="79"/>
    </row>
    <row r="835">
      <c r="A835" s="79"/>
    </row>
    <row r="836">
      <c r="A836" s="79"/>
    </row>
    <row r="837">
      <c r="A837" s="79"/>
    </row>
    <row r="838">
      <c r="A838" s="79"/>
    </row>
    <row r="839">
      <c r="A839" s="79"/>
    </row>
    <row r="840">
      <c r="A840" s="79"/>
    </row>
    <row r="841">
      <c r="A841" s="79"/>
    </row>
    <row r="842">
      <c r="A842" s="79"/>
    </row>
    <row r="843">
      <c r="A843" s="79"/>
    </row>
    <row r="844">
      <c r="A844" s="79"/>
    </row>
    <row r="845">
      <c r="A845" s="79"/>
    </row>
    <row r="846">
      <c r="A846" s="79"/>
    </row>
    <row r="847">
      <c r="A847" s="79"/>
    </row>
    <row r="848">
      <c r="A848" s="79"/>
    </row>
    <row r="849">
      <c r="A849" s="79"/>
    </row>
    <row r="850">
      <c r="A850" s="79"/>
    </row>
    <row r="851">
      <c r="A851" s="79"/>
    </row>
    <row r="852">
      <c r="A852" s="79"/>
    </row>
    <row r="853">
      <c r="A853" s="79"/>
    </row>
    <row r="854">
      <c r="A854" s="79"/>
    </row>
    <row r="855">
      <c r="A855" s="79"/>
    </row>
    <row r="856">
      <c r="A856" s="79"/>
    </row>
    <row r="857">
      <c r="A857" s="79"/>
    </row>
    <row r="858">
      <c r="A858" s="79"/>
    </row>
    <row r="859">
      <c r="A859" s="79"/>
    </row>
    <row r="860">
      <c r="A860" s="79"/>
    </row>
    <row r="861">
      <c r="A861" s="79"/>
    </row>
    <row r="862">
      <c r="A862" s="79"/>
    </row>
    <row r="863">
      <c r="A863" s="79"/>
    </row>
    <row r="864">
      <c r="A864" s="79"/>
    </row>
    <row r="865">
      <c r="A865" s="79"/>
    </row>
    <row r="866">
      <c r="A866" s="79"/>
    </row>
    <row r="867">
      <c r="A867" s="79"/>
    </row>
    <row r="868">
      <c r="A868" s="79"/>
    </row>
    <row r="869">
      <c r="A869" s="79"/>
    </row>
    <row r="870">
      <c r="A870" s="79"/>
    </row>
    <row r="871">
      <c r="A871" s="79"/>
    </row>
    <row r="872">
      <c r="A872" s="79"/>
    </row>
    <row r="873">
      <c r="A873" s="79"/>
    </row>
    <row r="874">
      <c r="A874" s="79"/>
    </row>
    <row r="875">
      <c r="A875" s="79"/>
    </row>
    <row r="876">
      <c r="A876" s="79"/>
    </row>
    <row r="877">
      <c r="A877" s="79"/>
    </row>
    <row r="878">
      <c r="A878" s="79"/>
    </row>
    <row r="879">
      <c r="A879" s="79"/>
    </row>
    <row r="880">
      <c r="A880" s="79"/>
    </row>
    <row r="881">
      <c r="A881" s="79"/>
    </row>
    <row r="882">
      <c r="A882" s="79"/>
    </row>
    <row r="883">
      <c r="A883" s="79"/>
    </row>
    <row r="884">
      <c r="A884" s="79"/>
    </row>
    <row r="885">
      <c r="A885" s="79"/>
    </row>
    <row r="886">
      <c r="A886" s="79"/>
    </row>
    <row r="887">
      <c r="A887" s="79"/>
    </row>
    <row r="888">
      <c r="A888" s="79"/>
    </row>
    <row r="889">
      <c r="A889" s="79"/>
    </row>
    <row r="890">
      <c r="A890" s="79"/>
    </row>
    <row r="891">
      <c r="A891" s="79"/>
    </row>
    <row r="892">
      <c r="A892" s="79"/>
    </row>
    <row r="893">
      <c r="A893" s="79"/>
    </row>
    <row r="894">
      <c r="A894" s="79"/>
    </row>
    <row r="895">
      <c r="A895" s="79"/>
    </row>
    <row r="896">
      <c r="A896" s="79"/>
    </row>
    <row r="897">
      <c r="A897" s="79"/>
    </row>
    <row r="898">
      <c r="A898" s="79"/>
    </row>
    <row r="899">
      <c r="A899" s="79"/>
    </row>
    <row r="900">
      <c r="A900" s="79"/>
    </row>
    <row r="901">
      <c r="A901" s="79"/>
    </row>
    <row r="902">
      <c r="A902" s="79"/>
    </row>
    <row r="903">
      <c r="A903" s="79"/>
    </row>
    <row r="904">
      <c r="A904" s="79"/>
    </row>
    <row r="905">
      <c r="A905" s="79"/>
    </row>
    <row r="906">
      <c r="A906" s="79"/>
    </row>
    <row r="907">
      <c r="A907" s="79"/>
    </row>
    <row r="908">
      <c r="A908" s="79"/>
    </row>
    <row r="909">
      <c r="A909" s="79"/>
    </row>
    <row r="910">
      <c r="A910" s="79"/>
    </row>
    <row r="911">
      <c r="A911" s="79"/>
    </row>
    <row r="912">
      <c r="A912" s="79"/>
    </row>
    <row r="913">
      <c r="A913" s="79"/>
    </row>
    <row r="914">
      <c r="A914" s="79"/>
    </row>
    <row r="915">
      <c r="A915" s="79"/>
    </row>
    <row r="916">
      <c r="A916" s="79"/>
    </row>
    <row r="917">
      <c r="A917" s="79"/>
    </row>
    <row r="918">
      <c r="A918" s="79"/>
    </row>
    <row r="919">
      <c r="A919" s="79"/>
    </row>
    <row r="920">
      <c r="A920" s="79"/>
    </row>
    <row r="921">
      <c r="A921" s="79"/>
    </row>
    <row r="922">
      <c r="A922" s="79"/>
    </row>
    <row r="923">
      <c r="A923" s="79"/>
    </row>
    <row r="924">
      <c r="A924" s="79"/>
    </row>
    <row r="925">
      <c r="A925" s="79"/>
    </row>
    <row r="926">
      <c r="A926" s="79"/>
    </row>
    <row r="927">
      <c r="A927" s="79"/>
    </row>
    <row r="928">
      <c r="A928" s="79"/>
    </row>
    <row r="929">
      <c r="A929" s="79"/>
    </row>
    <row r="930">
      <c r="A930" s="79"/>
    </row>
    <row r="931">
      <c r="A931" s="79"/>
    </row>
    <row r="932">
      <c r="A932" s="79"/>
    </row>
    <row r="933">
      <c r="A933" s="79"/>
    </row>
    <row r="934">
      <c r="A934" s="79"/>
    </row>
    <row r="935">
      <c r="A935" s="79"/>
    </row>
    <row r="936">
      <c r="A936" s="79"/>
    </row>
    <row r="937">
      <c r="A937" s="79"/>
    </row>
    <row r="938">
      <c r="A938" s="79"/>
    </row>
    <row r="939">
      <c r="A939" s="79"/>
    </row>
    <row r="940">
      <c r="A940" s="79"/>
    </row>
    <row r="941">
      <c r="A941" s="79"/>
    </row>
    <row r="942">
      <c r="A942" s="79"/>
    </row>
    <row r="943">
      <c r="A943" s="79"/>
    </row>
    <row r="944">
      <c r="A944" s="79"/>
    </row>
    <row r="945">
      <c r="A945" s="79"/>
    </row>
    <row r="946">
      <c r="A946" s="79"/>
    </row>
    <row r="947">
      <c r="A947" s="79"/>
    </row>
    <row r="948">
      <c r="A948" s="79"/>
    </row>
    <row r="949">
      <c r="A949" s="79"/>
    </row>
    <row r="950">
      <c r="A950" s="79"/>
    </row>
    <row r="951">
      <c r="A951" s="79"/>
    </row>
    <row r="952">
      <c r="A952" s="79"/>
    </row>
    <row r="953">
      <c r="A953" s="79"/>
    </row>
    <row r="954">
      <c r="A954" s="79"/>
    </row>
    <row r="955">
      <c r="A955" s="79"/>
    </row>
    <row r="956">
      <c r="A956" s="79"/>
    </row>
    <row r="957">
      <c r="A957" s="79"/>
    </row>
    <row r="958">
      <c r="A958" s="79"/>
    </row>
    <row r="959">
      <c r="A959" s="79"/>
    </row>
    <row r="960">
      <c r="A960" s="79"/>
    </row>
    <row r="961">
      <c r="A961" s="79"/>
    </row>
    <row r="962">
      <c r="A962" s="79"/>
    </row>
    <row r="963">
      <c r="A963" s="79"/>
    </row>
    <row r="964">
      <c r="A964" s="79"/>
    </row>
    <row r="965">
      <c r="A965" s="79"/>
    </row>
    <row r="966">
      <c r="A966" s="79"/>
    </row>
    <row r="967">
      <c r="A967" s="79"/>
    </row>
    <row r="968">
      <c r="A968" s="79"/>
    </row>
    <row r="969">
      <c r="A969" s="79"/>
    </row>
    <row r="970">
      <c r="A970" s="79"/>
    </row>
    <row r="971">
      <c r="A971" s="79"/>
    </row>
    <row r="972">
      <c r="A972" s="79"/>
    </row>
    <row r="973">
      <c r="A973" s="79"/>
    </row>
    <row r="974">
      <c r="A974" s="79"/>
    </row>
    <row r="975">
      <c r="A975" s="79"/>
    </row>
    <row r="976">
      <c r="A976" s="79"/>
    </row>
    <row r="977">
      <c r="A977" s="79"/>
    </row>
    <row r="978">
      <c r="A978" s="79"/>
    </row>
    <row r="979">
      <c r="A979" s="79"/>
    </row>
    <row r="980">
      <c r="A980" s="79"/>
    </row>
    <row r="981">
      <c r="A981" s="79"/>
    </row>
    <row r="982">
      <c r="A982" s="79"/>
    </row>
    <row r="983">
      <c r="A983" s="79"/>
    </row>
    <row r="984">
      <c r="A984" s="79"/>
    </row>
    <row r="985">
      <c r="A985" s="79"/>
    </row>
    <row r="986">
      <c r="A986" s="79"/>
    </row>
    <row r="987">
      <c r="A987" s="79"/>
    </row>
    <row r="988">
      <c r="A988" s="79"/>
    </row>
    <row r="989">
      <c r="A989" s="79"/>
    </row>
    <row r="990">
      <c r="A990" s="79"/>
    </row>
    <row r="991">
      <c r="A991" s="79"/>
    </row>
    <row r="992">
      <c r="A992" s="79"/>
    </row>
    <row r="993">
      <c r="A993" s="79"/>
    </row>
    <row r="994">
      <c r="A994" s="79"/>
    </row>
    <row r="995">
      <c r="A995" s="79"/>
    </row>
    <row r="996">
      <c r="A996" s="79"/>
    </row>
    <row r="997">
      <c r="A997" s="79"/>
    </row>
    <row r="998">
      <c r="A998" s="79"/>
    </row>
    <row r="999">
      <c r="A999" s="79"/>
    </row>
    <row r="1000">
      <c r="A1000" s="79"/>
    </row>
    <row r="1001">
      <c r="A1001" s="79"/>
    </row>
  </sheetData>
  <drawing r:id="rId1"/>
</worksheet>
</file>